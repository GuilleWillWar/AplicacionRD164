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C:\Users\ESDPC\Desktop\App Seguridad\"/>
    </mc:Choice>
  </mc:AlternateContent>
  <xr:revisionPtr revIDLastSave="0" documentId="13_ncr:1_{0B3EB0A5-CD55-4D2F-8096-1091F5F8FFA2}" xr6:coauthVersionLast="47" xr6:coauthVersionMax="47" xr10:uidLastSave="{00000000-0000-0000-0000-000000000000}"/>
  <bookViews>
    <workbookView xWindow="-108" yWindow="-108" windowWidth="23256" windowHeight="12576" activeTab="46" xr2:uid="{00000000-000D-0000-FFFF-FFFF00000000}"/>
  </bookViews>
  <sheets>
    <sheet name="Interfaz" sheetId="1" r:id="rId1"/>
    <sheet name="001" sheetId="52" r:id="rId2"/>
    <sheet name="Textos Memoria" sheetId="5" r:id="rId3"/>
    <sheet name="Imagenes" sheetId="6" state="hidden" r:id="rId4"/>
    <sheet name="TOKENS Imágenes" sheetId="7" state="hidden" r:id="rId5"/>
    <sheet name="Textos" sheetId="8" state="hidden" r:id="rId6"/>
    <sheet name="Nota 1.5 y 1.6" sheetId="9" state="hidden" r:id="rId7"/>
    <sheet name="Anx. II Sup" sheetId="10" state="hidden" r:id="rId8"/>
    <sheet name="Anx. II Reac" sheetId="11" state="hidden" r:id="rId9"/>
    <sheet name="Anx. II Res Sec" sheetId="12" state="hidden" r:id="rId10"/>
    <sheet name="Anx. II Res Ext" sheetId="13" state="hidden" r:id="rId11"/>
    <sheet name="Anx. II Ocu" sheetId="14" state="hidden" r:id="rId12"/>
    <sheet name="Anx. II Sal" sheetId="15" state="hidden" r:id="rId13"/>
    <sheet name="Anx. II Res" sheetId="16" state="hidden" r:id="rId14"/>
    <sheet name="Anx. III Det Auto" sheetId="17" state="hidden" r:id="rId15"/>
    <sheet name="Anx. III Det Man" sheetId="18" state="hidden" r:id="rId16"/>
    <sheet name="Anx. III Alr" sheetId="19" state="hidden" r:id="rId17"/>
    <sheet name="Anx. III Meg" sheetId="20" state="hidden" r:id="rId18"/>
    <sheet name="Anx. III Hid" sheetId="21" state="hidden" r:id="rId19"/>
    <sheet name="Anx. III Ext Ext" sheetId="22" state="hidden" r:id="rId20"/>
    <sheet name="Anx. III BIES" sheetId="23" state="hidden" r:id="rId21"/>
    <sheet name="Anx. III Ext Auto" sheetId="24" state="hidden" r:id="rId22"/>
    <sheet name="Anx. III Col" sheetId="25" state="hidden" r:id="rId23"/>
    <sheet name="Anx. III Hum" sheetId="26" state="hidden" r:id="rId24"/>
    <sheet name="Superficie NRI" sheetId="27" state="hidden" r:id="rId25"/>
    <sheet name="RF Particiones y Puertas" sheetId="28" state="hidden" r:id="rId26"/>
    <sheet name="Reacción al fuego" sheetId="29" state="hidden" r:id="rId27"/>
    <sheet name="Resist. Estable" sheetId="30" state="hidden" r:id="rId28"/>
    <sheet name="Instalaciones tecnicas" sheetId="31" state="hidden" r:id="rId29"/>
    <sheet name="Reacc Elementos" sheetId="32" state="hidden" r:id="rId30"/>
    <sheet name="Recorridos Evacuacion" sheetId="33" state="hidden" r:id="rId31"/>
    <sheet name="Medios de Evacuacion" sheetId="34" state="hidden" r:id="rId32"/>
    <sheet name="Condiciones Aproximacion" sheetId="35" state="hidden" r:id="rId33"/>
    <sheet name="Resistencia Estructural" sheetId="36" state="hidden" r:id="rId34"/>
    <sheet name="Deteccion" sheetId="37" state="hidden" r:id="rId35"/>
    <sheet name="Abastecimiento" sheetId="38" state="hidden" r:id="rId36"/>
    <sheet name="Hidrantes" sheetId="39" state="hidden" r:id="rId37"/>
    <sheet name="Extintores" sheetId="40" state="hidden" r:id="rId38"/>
    <sheet name="BIES" sheetId="41" state="hidden" r:id="rId39"/>
    <sheet name="Columna Seca" sheetId="42" state="hidden" r:id="rId40"/>
    <sheet name="Extincion Auto" sheetId="43" state="hidden" r:id="rId41"/>
    <sheet name="Control Humos" sheetId="44" state="hidden" r:id="rId42"/>
    <sheet name="Alumbrado Emer" sheetId="45" state="hidden" r:id="rId43"/>
    <sheet name="Señaletica" sheetId="46" state="hidden" r:id="rId44"/>
    <sheet name="Listas" sheetId="47" state="hidden" r:id="rId45"/>
    <sheet name="TEMPLATE_TABLA_RESUMEN" sheetId="48" state="veryHidden" r:id="rId46"/>
    <sheet name="TOKENS" sheetId="55" r:id="rId47"/>
    <sheet name="TXT" sheetId="56" r:id="rId48"/>
  </sheets>
  <functionGroups builtInGroupCount="19"/>
  <definedNames>
    <definedName name="CONFIGURACION">Interfaz!$C$56</definedName>
    <definedName name="EstadoCaso" localSheetId="0">Interfaz!$G$6</definedName>
    <definedName name="EstadoCaso_Inicializado" localSheetId="0">VERDADERO</definedName>
    <definedName name="NRI">Interfaz!$C$57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53" roundtripDataChecksum="VRjXNEdUQJy2vVmlAUNF180DkwJZRICohGPKmYNKUnU="/>
    </ext>
  </extLst>
</workbook>
</file>

<file path=xl/calcChain.xml><?xml version="1.0" encoding="utf-8"?>
<calcChain xmlns="http://schemas.openxmlformats.org/spreadsheetml/2006/main">
  <c r="C57" i="55" l="1"/>
  <c r="C56" i="55"/>
  <c r="C51" i="55"/>
  <c r="C50" i="55"/>
  <c r="C49" i="55"/>
  <c r="C48" i="55"/>
  <c r="C47" i="55"/>
  <c r="C42" i="55"/>
  <c r="C41" i="55"/>
  <c r="C40" i="55"/>
  <c r="C39" i="55"/>
  <c r="C38" i="55"/>
  <c r="C37" i="55"/>
  <c r="C36" i="55"/>
  <c r="C35" i="55"/>
  <c r="C34" i="55"/>
  <c r="C33" i="55"/>
  <c r="C32" i="55"/>
  <c r="C31" i="55"/>
  <c r="C30" i="55"/>
  <c r="C29" i="55"/>
  <c r="C28" i="55"/>
  <c r="C27" i="55"/>
  <c r="C26" i="55"/>
  <c r="C25" i="55"/>
  <c r="C24" i="55"/>
  <c r="C23" i="55"/>
  <c r="C22" i="55"/>
  <c r="C16" i="55"/>
  <c r="C15" i="55"/>
  <c r="C14" i="55"/>
  <c r="C13" i="55"/>
  <c r="C12" i="55"/>
  <c r="C11" i="55"/>
  <c r="C10" i="55"/>
  <c r="C9" i="55"/>
  <c r="C8" i="55"/>
  <c r="C7" i="55"/>
  <c r="C6" i="55"/>
  <c r="C5" i="55"/>
  <c r="C4" i="55"/>
  <c r="C3" i="55"/>
  <c r="C2" i="55"/>
  <c r="F55" i="55"/>
  <c r="F54" i="55"/>
  <c r="F53" i="55"/>
  <c r="F52" i="55"/>
  <c r="F46" i="55"/>
  <c r="F45" i="55"/>
  <c r="F44" i="55"/>
  <c r="F43" i="55"/>
  <c r="F21" i="55"/>
  <c r="F20" i="55"/>
  <c r="F19" i="55"/>
  <c r="F18" i="55"/>
  <c r="F17" i="55"/>
  <c r="F2" i="52" a="1"/>
  <c r="F2" i="52" s="1"/>
  <c r="F2" i="1" a="1"/>
  <c r="F2" i="1" s="1"/>
  <c r="H16" i="44"/>
  <c r="K7" i="33"/>
  <c r="K2" i="31"/>
  <c r="O35" i="27"/>
  <c r="H4" i="27" a="1"/>
  <c r="H4" i="27" s="1"/>
  <c r="B2"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000-000003000000}">
      <text>
        <r>
          <rPr>
            <sz val="11"/>
            <color theme="1"/>
            <rFont val="Calibri"/>
            <family val="2"/>
            <scheme val="minor"/>
          </rPr>
          <t>======
ID#AAABvNFyF4Q
ESDPC    (2025-11-04 12:35:29)
Caso archivado el 2025-09-21 16:29</t>
        </r>
      </text>
    </comment>
  </commentList>
  <extLst>
    <ext xmlns:r="http://schemas.openxmlformats.org/officeDocument/2006/relationships" uri="GoogleSheetsCustomDataVersion2">
      <go:sheetsCustomData xmlns:go="http://customooxmlschemas.google.com/" r:id="rId1" roundtripDataSignature="AMtx7mi/oViXd0zYk75S4cz851KzGKQkVg=="/>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4EC4F555-E591-4735-8395-561EE5FA7806}">
      <text>
        <r>
          <rPr>
            <sz val="11"/>
            <color theme="1"/>
            <rFont val="Calibri"/>
            <family val="2"/>
            <scheme val="minor"/>
          </rPr>
          <t>======
ID#AAABvNFyF4Q
ESDPC    (2025-11-04 12:35:29)
Caso archivado el 2025-09-21 16:29</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<sst xmlns="http://schemas.openxmlformats.org/spreadsheetml/2006/main" count="5731" uniqueCount="990">
  <si>
    <t>ANEXO I. CARACTERIZACIÓN DE LOS ESTABLECIMIENTOS INDUSTRIALES</t>
  </si>
  <si>
    <t>Calcular</t>
  </si>
  <si>
    <t>Borrar</t>
  </si>
  <si>
    <t>Configuración</t>
  </si>
  <si>
    <r>
      <rPr>
        <b/>
        <sz val="11"/>
        <color theme="1"/>
        <rFont val="Calibri"/>
        <family val="2"/>
      </rPr>
      <t>Q</t>
    </r>
    <r>
      <rPr>
        <sz val="9"/>
        <color theme="1"/>
        <rFont val="Century Gothic"/>
        <family val="2"/>
      </rPr>
      <t xml:space="preserve">S </t>
    </r>
    <r>
      <rPr>
        <sz val="11"/>
        <color theme="1"/>
        <rFont val="Century Gothic"/>
        <family val="2"/>
      </rPr>
      <t>(MJ/m2)</t>
    </r>
  </si>
  <si>
    <t>NRI</t>
  </si>
  <si>
    <t>Nombre del edificio</t>
  </si>
  <si>
    <t>Nivel</t>
  </si>
  <si>
    <t>Actividad</t>
  </si>
  <si>
    <t>Superfice del sector (m2)</t>
  </si>
  <si>
    <t>ANEXO II. REQUISITOS CONSTRUCTIVOS DE LOS ESTABLECIMIENTOS INDUSTRIALES</t>
  </si>
  <si>
    <t>Nombre del sector</t>
  </si>
  <si>
    <t>SECCIÓN 1. PROPAGACIÓN INTERIOR</t>
  </si>
  <si>
    <t>Notas Tecnico</t>
  </si>
  <si>
    <t>Altura de evacuación (m)</t>
  </si>
  <si>
    <t>Superficie Viable</t>
  </si>
  <si>
    <t>Viabilidad</t>
  </si>
  <si>
    <t>Generar Tabla</t>
  </si>
  <si>
    <t>Longitud de fachada accesible (m)</t>
  </si>
  <si>
    <t>Resistencia al fuego viable elementos constructivos separadores de sectores Corregida</t>
  </si>
  <si>
    <t>Superficie Máxima Sector Corregida</t>
  </si>
  <si>
    <t>El sistema cuenta con una fachada accesible, superior al 50% de la fachada total</t>
  </si>
  <si>
    <t>Factor multiplicador x1.25</t>
  </si>
  <si>
    <t>Nota 2</t>
  </si>
  <si>
    <t>Resistencia al fuego elementos constructivos separadores de sectores Corregida</t>
  </si>
  <si>
    <t>Leyenda</t>
  </si>
  <si>
    <t>Sistema de extinción automática por rociadores</t>
  </si>
  <si>
    <t>Factor multiplicador x2</t>
  </si>
  <si>
    <t>Nota 3</t>
  </si>
  <si>
    <t>Puertas Sin Vestíbulo</t>
  </si>
  <si>
    <t>No modificables</t>
  </si>
  <si>
    <t>El sector cuenta con fachada accesible y extinción automática</t>
  </si>
  <si>
    <t>Factor multiplicador x2.5</t>
  </si>
  <si>
    <t>Nota 2 y Nota 3</t>
  </si>
  <si>
    <t>Puertas Con Vestíbulo</t>
  </si>
  <si>
    <t>Modificables</t>
  </si>
  <si>
    <t>El establecimiento cuenta con una cubierta ligera, un sistema fijo de extinción automática y un sistema para control de humos y calor</t>
  </si>
  <si>
    <t>Puertas Grandes Sin Vestíbulo</t>
  </si>
  <si>
    <t>Resultados</t>
  </si>
  <si>
    <t>Información</t>
  </si>
  <si>
    <t>Puertas Grandes Con Vestibulo</t>
  </si>
  <si>
    <t>Botón</t>
  </si>
  <si>
    <t>Situación del elemento</t>
  </si>
  <si>
    <t>Tabla 2.1.4</t>
  </si>
  <si>
    <t>Reacción al fuego de techos y paredes</t>
  </si>
  <si>
    <t>Reacción al fuego de suelos</t>
  </si>
  <si>
    <t>Abrir Nota 5</t>
  </si>
  <si>
    <t>El sector no contiene un sistema de carga de baterias</t>
  </si>
  <si>
    <t>Nota 5 a)</t>
  </si>
  <si>
    <t>Sistema de detección y alarma de incendios</t>
  </si>
  <si>
    <t>Nota 5 b)</t>
  </si>
  <si>
    <t>La estructura delimitadora es independiente del resto del edificio</t>
  </si>
  <si>
    <t>El posible colapso no afecta a los establecimientos colindantes</t>
  </si>
  <si>
    <t>El sector cuenta con un sistema de control de humos</t>
  </si>
  <si>
    <t>Nota 5 c)</t>
  </si>
  <si>
    <t>El sector dispone de una boca de incendio equipada (BIE)</t>
  </si>
  <si>
    <t>Nota 5 d)</t>
  </si>
  <si>
    <t>Condiciones de máxima seguridad (Información)</t>
  </si>
  <si>
    <t>Nota 5 e)</t>
  </si>
  <si>
    <t>Cerrar Nota 5</t>
  </si>
  <si>
    <t>SECCIÓN 2. PROPAGACIÓN EXTERIOR</t>
  </si>
  <si>
    <t>La distancia entre el establecimiento y los establecimientos circundantes es mayor que 0 metros y menor que 3 metros</t>
  </si>
  <si>
    <t>Tabla 2.2.1</t>
  </si>
  <si>
    <t>Resistencia al fuego de los elementos separadores con otros establecimientos</t>
  </si>
  <si>
    <t>Reacción elementos de fachada</t>
  </si>
  <si>
    <t>Reacción cámaras ventiladas</t>
  </si>
  <si>
    <t>SECCIÓN 3. EVACUACIÓN DE OCUPANTES</t>
  </si>
  <si>
    <t>Numero de personas previstas que ocupen el sector</t>
  </si>
  <si>
    <t>Distancia a la salida</t>
  </si>
  <si>
    <t>Ocupación</t>
  </si>
  <si>
    <t>El sector cuenta con al menos dos salidas alterntivas</t>
  </si>
  <si>
    <t>Número mínimo de salidas</t>
  </si>
  <si>
    <t>Nota 4 a</t>
  </si>
  <si>
    <t>Distancia a la salida (1 salida)</t>
  </si>
  <si>
    <t>Nota 4 b</t>
  </si>
  <si>
    <t>Distancia del recorrido sin alternativa (2 salidas)</t>
  </si>
  <si>
    <t>El sector cuenta con dos salidas al menos y un sistema de extinción automática</t>
  </si>
  <si>
    <t>Nota 4 c</t>
  </si>
  <si>
    <t>Distancia a la salida más proxima (2 salidas)</t>
  </si>
  <si>
    <t>SECCIÓN 4. INTERVENCIÓN DE LOS BOMBEROS</t>
  </si>
  <si>
    <t>CONDICIONES DE APROXIMACIÓN A LOS EDIFICIOS</t>
  </si>
  <si>
    <t>Anchura minima libre en tramos rectos</t>
  </si>
  <si>
    <t>Capacidad portante del vial kN/m2</t>
  </si>
  <si>
    <t>Radio exterior del carril de rodadura</t>
  </si>
  <si>
    <t>Altua mínima libre de gálibo</t>
  </si>
  <si>
    <t>Radio interior carril de rodadura</t>
  </si>
  <si>
    <t>Anchura libre de circulación</t>
  </si>
  <si>
    <t>Entorno en los edificios si la superficie supera los 1000 m2 y una altura de evacuacion descendente de 9 m</t>
  </si>
  <si>
    <t>Separación máxima hasta la fachada (m)</t>
  </si>
  <si>
    <t>Pendiente máxima de rampas de aproximación %</t>
  </si>
  <si>
    <t>Altura libre (m)</t>
  </si>
  <si>
    <t>La del edificio</t>
  </si>
  <si>
    <t>Distancia de las puertas de acceso a cada zona (m)</t>
  </si>
  <si>
    <t>Resistencia al punzonamiento del suelo circundate kN</t>
  </si>
  <si>
    <t>Maniobra de salida del vehículo, radio (m)</t>
  </si>
  <si>
    <t>Maniobra de salida de vehículo, ancho (m)</t>
  </si>
  <si>
    <t>Maniobra de salida de vehículo, alto m</t>
  </si>
  <si>
    <t>Distancia del perimetro exterior a la localización de la columna seca del edificio (si la hay)</t>
  </si>
  <si>
    <t>Huecos en la fachada</t>
  </si>
  <si>
    <t>Altura de alfeizar máximo (m)</t>
  </si>
  <si>
    <t>Longitud horizontal minima (m)</t>
  </si>
  <si>
    <t>Longitud vertical mínima (m)</t>
  </si>
  <si>
    <t>Distancia máxima entre los ejes de los huecos (m)</t>
  </si>
  <si>
    <t>Altura de uno de los accesos peatonales (m)</t>
  </si>
  <si>
    <t>Los elementos de seguridad situados cerca de los huecos deben tener una altura máxima (m)</t>
  </si>
  <si>
    <t>SECCIÓN 5. RESISTENCIA ESTRUCTURAL AL INCENDIO</t>
  </si>
  <si>
    <t>El establecimiento cuenta con una cubierta ligera no prevista para la evacuación</t>
  </si>
  <si>
    <t>Tabla 2.5.2</t>
  </si>
  <si>
    <t>Nota 1.3.1</t>
  </si>
  <si>
    <t>Reistencia elementos estructurales</t>
  </si>
  <si>
    <t>Tabla 2.5.3</t>
  </si>
  <si>
    <t>Nota 1.3.2</t>
  </si>
  <si>
    <t xml:space="preserve">ANEXO III. Requisitos dotacionales de instalaciones de protección activa contra incendios </t>
  </si>
  <si>
    <t>Superficie total de establecimiento (m)</t>
  </si>
  <si>
    <t>Dispositivos de detección automática</t>
  </si>
  <si>
    <t>Dispositivos de detección manual</t>
  </si>
  <si>
    <t>Megafonía, alarma local y alarma general</t>
  </si>
  <si>
    <t>Hidrantes para el llenado de camiones</t>
  </si>
  <si>
    <t>Hidrantes impulsión directa</t>
  </si>
  <si>
    <t>Caudal minimo necesario de los hidrantes de impulsión directa</t>
  </si>
  <si>
    <t>Tiempo de autonomia de los hidrantes de impulsión directa</t>
  </si>
  <si>
    <t>Eficacia minima del extintor</t>
  </si>
  <si>
    <t>Nº de extintores</t>
  </si>
  <si>
    <t>Extintores portátiles</t>
  </si>
  <si>
    <t>Necesita BIES</t>
  </si>
  <si>
    <t>Tipo BIE</t>
  </si>
  <si>
    <t>Necesita Columna Seca</t>
  </si>
  <si>
    <t>Necesita Extinción Automática</t>
  </si>
  <si>
    <t>Necesita control de humos</t>
  </si>
  <si>
    <t>Guardar Caso</t>
  </si>
  <si>
    <t>Configuración Edificio</t>
  </si>
  <si>
    <t>Nº Exp</t>
  </si>
  <si>
    <t>Eliminar los sectores</t>
  </si>
  <si>
    <t>NRI Edificio</t>
  </si>
  <si>
    <t>Cliente</t>
  </si>
  <si>
    <t>Exportar Memoria</t>
  </si>
  <si>
    <t>Superficie Edificio</t>
  </si>
  <si>
    <t>Nombre del proyecto</t>
  </si>
  <si>
    <t>B</t>
  </si>
  <si>
    <t>Sobre Rasante</t>
  </si>
  <si>
    <t>Almacenamiento</t>
  </si>
  <si>
    <t>ADMITIDO</t>
  </si>
  <si>
    <t>REI 90</t>
  </si>
  <si>
    <t>REI 45</t>
  </si>
  <si>
    <t>REI 22.5</t>
  </si>
  <si>
    <t>Zonas ocupables, en general</t>
  </si>
  <si>
    <t>C-s2,d0</t>
  </si>
  <si>
    <t>CFL-s1</t>
  </si>
  <si>
    <t>REI 180</t>
  </si>
  <si>
    <t>R 90</t>
  </si>
  <si>
    <t>Si</t>
  </si>
  <si>
    <t>No</t>
  </si>
  <si>
    <t>25 mm</t>
  </si>
  <si>
    <t>SI</t>
  </si>
  <si>
    <t>Bajo 2</t>
  </si>
  <si>
    <t>C</t>
  </si>
  <si>
    <t>REI 60</t>
  </si>
  <si>
    <t>REI 30</t>
  </si>
  <si>
    <t>REI 15</t>
  </si>
  <si>
    <t>R 60</t>
  </si>
  <si>
    <t>Alto 6</t>
  </si>
  <si>
    <t>Parametros del informe</t>
  </si>
  <si>
    <t>Valor</t>
  </si>
  <si>
    <t>Ejemplo</t>
  </si>
  <si>
    <t>Anexo I</t>
  </si>
  <si>
    <t>Nombre Empresa</t>
  </si>
  <si>
    <t>A cabana</t>
  </si>
  <si>
    <t>Dedicada a la producción de conservas</t>
  </si>
  <si>
    <t>Dirección física empresa</t>
  </si>
  <si>
    <t>tiene previsto acondicionar un establecimiento industrial ubicado en la Crtra. N-VI, km 511. Outeiro de Rei – (Lugo)</t>
  </si>
  <si>
    <t>Planos de la reforma a realizar, archivo 0008-23-M01-C01 04ARQ.dwg, de fecha 11 de noviembre de 2024</t>
  </si>
  <si>
    <t>Ubicación y Catastral</t>
  </si>
  <si>
    <t xml:space="preserve">El establecimiento objeto de estudio está situada en la parcela con referencia catastral XXXXXXX Parcela 10A del Polígono industrial de Espiñeira, CP 15990 – Boiro (A Coruña). </t>
  </si>
  <si>
    <t>Linde Norte</t>
  </si>
  <si>
    <t>Con una zona verde arbolada</t>
  </si>
  <si>
    <t>Linde Este</t>
  </si>
  <si>
    <t>Con otra parecela propiedad de Jealsa Foods</t>
  </si>
  <si>
    <t>Linde Sur</t>
  </si>
  <si>
    <t>Egalsa soluciones de envasado</t>
  </si>
  <si>
    <t>Linde Oeste</t>
  </si>
  <si>
    <t>Con el vial del parque empresarial de Espiñeira</t>
  </si>
  <si>
    <t>Estructura Edificio</t>
  </si>
  <si>
    <t>La nave tiene su estructura principalmente metálica y los muros de cerramiento exterior son de fábrica ladrillo/bloque hormigón y cubierta de panel sándwich PIR/PUR.</t>
  </si>
  <si>
    <t>R.D. 164/2025, de 4 de marzo, por el que se aprueba el Reglamento de seguridad contra incendios en los establecimientos industriales.</t>
  </si>
  <si>
    <t>CÓDIGO PRÁCTICO para el diseño, instalación, puesta en marcha y mantenimiento de Sistemas de Detección de Humo por Aspiración (ASD) de Tecnifuego AESPI.</t>
  </si>
  <si>
    <t>Anexo II</t>
  </si>
  <si>
    <t>Para garantizar la correcta sectorización del edificio será necesario ejecutar trabajos de consolidación de los sectores existentes, así como la nueva delimitación de algunos sectores que no existen en el estado actual del edificio.</t>
  </si>
  <si>
    <t>Producción</t>
  </si>
  <si>
    <t xml:space="preserve">Suelo en solera de hormigón revestida con resina epoxy  B-s1, d0; paredes con revestimiento apto para industria alimentaria; falso techo de panel sándwich GIC 200 de COLDKIT, EI-60 y B-s1, d0; estructura portante de prefabricados de hormigón. </t>
  </si>
  <si>
    <t>Trabajos Cubierta</t>
  </si>
  <si>
    <t>Deberán realizarse trabajos de sectorización en la cubierta existente, dotándola con franjas cortafuegos en todos los cambios de sector y locales de riesgo especial. Las franjas cortafuegos tendrán una reacción al fuego de al menos Bs1,d0.</t>
  </si>
  <si>
    <t>Fachada Edificio</t>
  </si>
  <si>
    <t xml:space="preserve">La nave objeto de estudio tiene una fachada ejecutada en prefabricados de hormigón macizo de 16cm de espesor, y sus huecos están distribuidos de manera tal que se cumple con los requerimientos de sectorización y franjas exigida por la normativa de aplicación. </t>
  </si>
  <si>
    <t>Cubierta Edificio</t>
  </si>
  <si>
    <t xml:space="preserve">La nave objeto de estudio tiene una cubierta de panel sándwich tipo PUR que no dispone de la resistencia al fuego requerida en las franjas de cubierta que delimitan los sectores de incendios. </t>
  </si>
  <si>
    <t>Evacuación Zonas</t>
  </si>
  <si>
    <t xml:space="preserve">El edificio objeto de estudio tiene parte industrial y parte no industrial egida por el CTE. Cada una de estas zonas evacua de manera independiente hacia el exterior. </t>
  </si>
  <si>
    <t>Obras Evacuación</t>
  </si>
  <si>
    <t>Para garantizar la correcta evacuación del establecimiento será necesario ejecutar obras de adaptación en el edificio existente. En la zona de oficinas, será necesario ejecutar un tabique de cierre entre el altillo de instalaciones y el núcleo de escaleras y ascensor. Este muro deberá ser EI-90 y estar dotado de puertas cortafuegos EI2 60-C5.</t>
  </si>
  <si>
    <t>Puerta Peatonal</t>
  </si>
  <si>
    <t xml:space="preserve">Será necesario garantizar que el portón de comunicación entre el almacén PT y la zona de producción cuenta con una puerta peatonal que cumpla con las condiciones del documento DB-SUA 2-1.2.3 y tienen marcado CE de conformidad con los correspondientes Reglamentos y Directivas Europeas. </t>
  </si>
  <si>
    <t>Puerta Evacuación</t>
  </si>
  <si>
    <t>En la zona de producción se propone la apertura de nueva puerta de evacuación hacia la zona sur de la parcela, de manera que se recorten los recorridos en esta zona.</t>
  </si>
  <si>
    <t>Obras Puertas</t>
  </si>
  <si>
    <t>Se prevé la instalación de nuevas puertas para salida en caso de emergencia en el Sector 1, 2 y 5. Todas las puertas de evacuación del perímetro de la nave tendrán un ancho de paso libre mínimo de 80cm, dispondrán de barra antipánico por el interior y pomo por el exterior, cierrapuertas y cerradura que permanecerá desbloqueada durante todo el horario de actividad.</t>
  </si>
  <si>
    <t>Obras Pasillos</t>
  </si>
  <si>
    <t xml:space="preserve">Teniendo en cuenta que los pasillos más estrechos se encuentran en la zona oficinas, siendo estos de 2,20 metros y que el número máximo de personas que podrán pasar por los pasillos y/o rampas serán 440 personas, se comprueba que la dimensión de los medios de evacuación es superior a la revista en cualquier sector o zona del establecimiento. </t>
  </si>
  <si>
    <t>Caracteristicas Escalera</t>
  </si>
  <si>
    <t xml:space="preserve">La escalera existente en oficinas tiene un ancho en planos de 1.20 metros para evacuación descendente, y debe salvar 2 plantas, por lo que cuenta con una capacidad de 192 personas. La escalera que conecta la planta 1 de oficinas con la zona de producción tiene un ancho en planos de 1.40 metros para evacuación descendente, y debe salvar una planta por lo que cuenta con una capacidad de 184 personas </t>
  </si>
  <si>
    <t>Protección Escalera</t>
  </si>
  <si>
    <t>Será necesario proteger las escaleras no protegidas interiores mediante la aplicación de pintura ignífuga hasta alcanzar una resistencia de al menos R-60.</t>
  </si>
  <si>
    <t>Acceso Público</t>
  </si>
  <si>
    <t>El acceso a la nave se realiza por un vial público en el linde oeste de la parcela. El acceso a la parcela permite el giro de los vehículos de emergencia al cumplir con el espacio mínimo de la corona circular exigido por la normativa de aplicación.</t>
  </si>
  <si>
    <t>Maniobras Perímetro</t>
  </si>
  <si>
    <t xml:space="preserve">El edificio cuenta con espacio de maniobra apto para el paso de vehículos en todo su perímetro. También dispone de diferentes huecos en las fachadas que cumplen con las dimensiones mínimas horizontales y verticales para que permitan el acceso desde el exterior al personal del servicio de extinción de incendios. </t>
  </si>
  <si>
    <t>Material Estrutura</t>
  </si>
  <si>
    <t>Según datos facilitados por la propiedad y la visita realizada, la estructura portante del edificio industrial es de prefabricados de hormigón tanto en vigas como en soportes y cierres perimetrales. Según el proyecto disponible la resistencia al fuego de la estructura es R60, la estructura principal de la cubierta y sus soportes son de prefabricados de hormigón tanto en vigas como en viguetas, la cubierta del edificio industrial es de panel sándwich tipo PUR en toda la nave. La carga permanente del establecimiento industrial está constituida por la estructura principal de cubierta, los pórticos y subestructura de cubiertas y el material de cobertura.</t>
  </si>
  <si>
    <t>Material Forjado</t>
  </si>
  <si>
    <t>El forjado superior de los vestuarios está ejecutado en losa alveolar con una resistencia según proyecto y certificado del instalador de R60. Será necesario proyectar la cara inferior del forjado en los locales de vestuarios para garantizar al menos un R90.</t>
  </si>
  <si>
    <t>Anexo III</t>
  </si>
  <si>
    <t>Tipo Bie</t>
  </si>
  <si>
    <t>En este caso, las BIES instaladas son de 25mm con boca adicional de 45mm.</t>
  </si>
  <si>
    <t>Descripción Hidrantes</t>
  </si>
  <si>
    <t>A pesar de que ningún sector de incendios es mayor a 2.500 m² con riesgo alto, la nave objeto de estudio tiene un sistema de hidrantes exteriores, pero estos no cumplen con las distancias máximas de cobertura de 40m por lo que será necesario complementar la instalación con nuevos hidrantes en todo el perímetro de la nave para disponer de un sistema de hidrantes válido y acorde al reglamento.</t>
  </si>
  <si>
    <t>Extintores Propuestos</t>
  </si>
  <si>
    <t xml:space="preserve">Se propone instalar extintores de polvo de 6kg y además de extintores de CO2 de 5Kg en zonas con riesgos eléctricos. </t>
  </si>
  <si>
    <t>Sistema BIES Existente</t>
  </si>
  <si>
    <t xml:space="preserve">No obstante, puesto que existe un sistema de BIEs en todo el edificio, se adecúa el sistema existente para disponer de un sistema válido acorde a la normativa. </t>
  </si>
  <si>
    <t>Iluminación Propuesta</t>
  </si>
  <si>
    <t>Se propone un sistema de alumbrado de emergencia que cubra todos los sectores.</t>
  </si>
  <si>
    <t>Fecha y Ubicación</t>
  </si>
  <si>
    <t>A Coruña, 30 de septiembre de 2025</t>
  </si>
  <si>
    <t>Clave</t>
  </si>
  <si>
    <t>Ruta</t>
  </si>
  <si>
    <t>PlanoGeneral</t>
  </si>
  <si>
    <t>Anx. II Sup</t>
  </si>
  <si>
    <r>
      <rPr>
        <sz val="14"/>
        <color rgb="FF404040"/>
        <rFont val="Century Gothic"/>
        <family val="2"/>
      </rPr>
      <t xml:space="preserve">Para los </t>
    </r>
    <r>
      <rPr>
        <b/>
        <sz val="14"/>
        <color rgb="FF404040"/>
        <rFont val="Century Gothic"/>
        <family val="2"/>
      </rPr>
      <t>SECTORES DE USO INDUSTRIAL</t>
    </r>
    <r>
      <rPr>
        <sz val="14"/>
        <color rgb="FF404040"/>
        <rFont val="Century Gothic"/>
        <family val="2"/>
      </rPr>
      <t xml:space="preserve"> la máxima superficie admisible de cada sector de incendio viene determinada por su caracterización, tanto de configuración tipo {tipo} como de nivel de riesgo intrínseco {nri}</t>
    </r>
  </si>
  <si>
    <t>Anx. II Reac</t>
  </si>
  <si>
    <r>
      <rPr>
        <sz val="11"/>
        <color rgb="FF404040"/>
        <rFont val="Century Gothic"/>
        <family val="2"/>
      </rPr>
      <t xml:space="preserve">Conforme a la normativa actual, para los </t>
    </r>
    <r>
      <rPr>
        <b/>
        <sz val="11"/>
        <color rgb="FF404040"/>
        <rFont val="Century Gothic"/>
        <family val="2"/>
      </rPr>
      <t>LOCALES DE RIESGO ESPECIAL, PATINILLOS DE SECTORES DE USO ADMINISTRATIVO y SECTORES DE USO ADMINISTRATIVO</t>
    </r>
    <r>
      <rPr>
        <sz val="11"/>
        <color rgb="FF404040"/>
        <rFont val="Century Gothic"/>
        <family val="2"/>
      </rPr>
      <t xml:space="preserve"> la reacción al fuego de los materiales de revestimiento o acabado superficial, estará de acuerdo a lo establecido en la TABLA 4.1. de la Sección 1. Propagación interior del CTE-DB-SI, según se detalla a continuación:</t>
    </r>
  </si>
  <si>
    <t>Anx. II Res Sec</t>
  </si>
  <si>
    <r>
      <rPr>
        <sz val="11"/>
        <color rgb="FF404040"/>
        <rFont val="Century Gothic"/>
        <family val="2"/>
      </rPr>
      <t xml:space="preserve">Confome a la normativa actual, para los sectores de </t>
    </r>
    <r>
      <rPr>
        <b/>
        <sz val="11"/>
        <color rgb="FF404040"/>
        <rFont val="Century Gothic"/>
        <family val="2"/>
      </rPr>
      <t>USO INDUSTRIAL</t>
    </r>
    <r>
      <rPr>
        <sz val="11"/>
        <color rgb="FF404040"/>
        <rFont val="Century Gothic"/>
        <family val="2"/>
      </rPr>
      <t>, la resistencia al fuego exigible a los elementos constructivos delimitadores de los sectores de incendio industriales previstos, viene definida por los valores de tiempo indicados en la TABLA 2.2. “ESTABILIDAD AL FUEGO DE ELEMENTOS ESTRUCTURALES PORTANTES”, exigido por el apartado 5 “RESISTENCIA AL FUEGO DE ELEMENTOS CONSTRUCTIVOS DE CERRAMIENTO” del ANEXO II del RSCIEI</t>
    </r>
  </si>
  <si>
    <t>Anx. II Res Ext</t>
  </si>
  <si>
    <r>
      <rPr>
        <sz val="11"/>
        <color rgb="FF404040"/>
        <rFont val="Century Gothic"/>
        <family val="2"/>
      </rPr>
      <t xml:space="preserve">Para limitar la propagación exterior horizontal entre los distintos sectores, ya sean de USO INDUSTRIAL, ADMINISTRATIVO o L.R.E., </t>
    </r>
    <r>
      <rPr>
        <b/>
        <sz val="11"/>
        <color rgb="FF404040"/>
        <rFont val="Century Gothic"/>
        <family val="2"/>
      </rPr>
      <t>ver en el presente apartado 5 del anexo II, las recomendación de ejecutar franjas cortafuego verticales</t>
    </r>
    <r>
      <rPr>
        <sz val="11"/>
        <color rgb="FF404040"/>
        <rFont val="Century Gothic"/>
        <family val="2"/>
      </rPr>
      <t xml:space="preserve"> en cada uno de los edificios, objeto del alcance de esta memoria.</t>
    </r>
  </si>
  <si>
    <t>Anx. II Ocu</t>
  </si>
  <si>
    <t xml:space="preserve">Los medios de evacuación se recomienda que se dimensionen para una OCUPACIÓN (P). Para los sectores de USO INDUSTRIAL el cálculo de dicha ocupación se recomienda que se determinen por el APARTADO 6 del ANEXO II del RSCIEI </t>
  </si>
  <si>
    <t>Anx. II Sal</t>
  </si>
  <si>
    <r>
      <rPr>
        <sz val="11"/>
        <color rgb="FF404040"/>
        <rFont val="Century Gothic"/>
        <family val="2"/>
      </rPr>
      <t xml:space="preserve">Para </t>
    </r>
    <r>
      <rPr>
        <b/>
        <sz val="11"/>
        <color rgb="FF404040"/>
        <rFont val="Century Gothic"/>
        <family val="2"/>
      </rPr>
      <t>SECTORES DE INCENDIO DE USO INDUSTRIAL,</t>
    </r>
    <r>
      <rPr>
        <sz val="11"/>
        <color rgb="FF404040"/>
        <rFont val="Century Gothic"/>
        <family val="2"/>
      </rPr>
      <t xml:space="preserve"> ubicados en edificios tipo {tipo}, el número mínimo de salidas y máxima longitud de los recorridos de evacuación, según su nivel de riesgo intrínseco {nri}</t>
    </r>
  </si>
  <si>
    <t>Anx. II Res</t>
  </si>
  <si>
    <r>
      <rPr>
        <sz val="11"/>
        <color rgb="FF404040"/>
        <rFont val="Century Gothic"/>
        <family val="2"/>
      </rPr>
      <t xml:space="preserve">Conforme a la normativa actual, para los </t>
    </r>
    <r>
      <rPr>
        <b/>
        <sz val="11"/>
        <color rgb="FF404040"/>
        <rFont val="Century Gothic"/>
        <family val="2"/>
      </rPr>
      <t>SECTORES DE USO INDUSTRIAL</t>
    </r>
    <r>
      <rPr>
        <sz val="11"/>
        <color rgb="FF404040"/>
        <rFont val="Century Gothic"/>
        <family val="2"/>
      </rPr>
      <t xml:space="preserve"> La estabilidad al fuego de los elementos constructivos portantes y las escaleras en recorridos de evacuación, teniendo en cuenta que el establecimiento tiene un configuracion tipo {tipo} y un nivel de riesgo intrinseco {nri}</t>
    </r>
  </si>
  <si>
    <t>Anx. III Det Auto</t>
  </si>
  <si>
    <t xml:space="preserve">A continuación, se indican los sectores a los que se les exige instalar SISTEMAS AUTOMÁTICOS DE DETECCIÓN DE INCENDIOS en base al APARTADO 3 del ANEXO III del RSCIEI para los sectores industriales, teniendo en cuenta que es un establecimiento tipo {tipo} </t>
  </si>
  <si>
    <t>Anx. III Det Man</t>
  </si>
  <si>
    <t>A continuación, se indican los sectores a los que se les exige instalar SISTEMAS MANUALES DE ALARMA DE INCENDIOS en base al APARTADO 4 del ANEXO III del RSCIEI para los sectores industriales, teniendo en cuenta que es un establecimiento tipo {tipo}</t>
  </si>
  <si>
    <t>Anx. III Alr</t>
  </si>
  <si>
    <t>A continuación, se indican los sectores a los que se les exige instalar SISTEMAS DE COMUNICACIÓN DE ALARMA DE INCENDIOS en base al APARTADO 5 del ANEXO III del RSCIEI para los sectores industriales La normativa EXIGE el instalar un sistema de comunicación de alarma en todos los sectores de incendio de los establecimientos industriales.</t>
  </si>
  <si>
    <t>Anx. III Meg</t>
  </si>
  <si>
    <t>La normativa EXIGE el instalar un sistema de comunicación de alarma en todos los sectores de incendio de los establecimientos industriales cuando su superficie construida de todos los sectores de incendio del establecimiento industrial es de 10.000 m2 o superior</t>
  </si>
  <si>
    <t>Anx. III Hid</t>
  </si>
  <si>
    <t>Según lo establecido en la TABLA 3.1. del APARTADO 7, en el ANEXO III del RSCIEI, en un EDIFICIO de TIPO {tipo} cuyo NIVEL DE RIESGO INTRÍNSECO es {nri}, {hidrantes} es necesaria la instalación de un sistema de HIDRANTES EXTERIORES.</t>
  </si>
  <si>
    <t>Anx. III Ext Ext</t>
  </si>
  <si>
    <t xml:space="preserve">A continuación, se indican los sectores a los que se les exige instalar EXTINTORES DE INCENDIOS en base al APARTADO 8 del ANEXO III del RSCIEI para los sectores industriales, </t>
  </si>
  <si>
    <t>Anx. III BIES</t>
  </si>
  <si>
    <t>A continuación, se indican los sectores a los que se les exige instalar BOCAS DE INCENDIOS EQUIPADAS (BIEs) en base al APARTADO 9 del ANEXO III del RSCIEI para los sectores industriales</t>
  </si>
  <si>
    <t>Anx. III Ext Auto</t>
  </si>
  <si>
    <t xml:space="preserve">A continuación, se indican los sectores a los que se les exige instalar SISTEMAS DE ROCIADORES AUTOMÁTICOS en base al APARTADO 11 del ANEXO III del RSCIEI </t>
  </si>
  <si>
    <t>Anx. III Col</t>
  </si>
  <si>
    <t xml:space="preserve">Según se indican en el APARTADO 10 del ANEXO III del RSCIEI </t>
  </si>
  <si>
    <t>Anx. III Hum</t>
  </si>
  <si>
    <t>En los sectores de USO INDUSTRIAL la instalación de un sistema de evacuación de humos viene definida en el APARTADO 7 del ANEXO II del RSCIEI</t>
  </si>
  <si>
    <t>Nota 1.5</t>
  </si>
  <si>
    <t>Nota 1.6</t>
  </si>
  <si>
    <t xml:space="preserve"> Las áreas de incendio en espacios abiertos de configuración tipo D (excepto las </t>
  </si>
  <si>
    <t xml:space="preserve">En las áreas de incendio en espacios abiertos (configuración tipo D), la </t>
  </si>
  <si>
    <t xml:space="preserve">de riesgo bajo nivel 1), deberán estar separadas de otras zonas del mismo </t>
  </si>
  <si>
    <t>distribución de los materiales combustibles deberá cumplir los siguientes requisitos:</t>
  </si>
  <si>
    <t>establecimiento por medio de una de las siguientes opciones:</t>
  </si>
  <si>
    <t xml:space="preserve">a) Para materiales sólidos, o bien materiales envasados, que se encuentren </t>
  </si>
  <si>
    <t xml:space="preserve">a) Por medio de una separación mínima de 5 metros entre el perímetro del área y </t>
  </si>
  <si>
    <t xml:space="preserve">almacenados por medio de un apilamiento unos sobre otros (o agrupados, amontonados, </t>
  </si>
  <si>
    <t xml:space="preserve">los materiales combustibles almacenados en ella que puedan propagar un incendio. En </t>
  </si>
  <si>
    <t>a granel o de otra forma equivalente):</t>
  </si>
  <si>
    <t xml:space="preserve">el caso de que exista un almacenamiento de materiales combustibles de altura mayor </t>
  </si>
  <si>
    <t>i. Superficie máxima de cada pila: 500 m2</t>
  </si>
  <si>
    <t xml:space="preserve">de 5 metros, la separación entre estos y el perímetro del área deberá ampliarse a la </t>
  </si>
  <si>
    <t>.</t>
  </si>
  <si>
    <t xml:space="preserve">misma distancia que dicha altura. En el caso de que la separación citada sea entre dos </t>
  </si>
  <si>
    <t>ii. Volumen máximo de cada pila: 3.500 m3</t>
  </si>
  <si>
    <t xml:space="preserve">áreas del mismo establecimiento, se admitirá que dicha separación esté repartida entre </t>
  </si>
  <si>
    <t>ambas áreas.</t>
  </si>
  <si>
    <t>iii. Altura máxima de cada pila: 15 metros.</t>
  </si>
  <si>
    <t xml:space="preserve">La separación perimetral señalada deberá estar descubierta para permitir la rápida </t>
  </si>
  <si>
    <t xml:space="preserve">iv. Longitud máxima de cada pila: 20 metros. Si la anchura del pasillo entre pilas es </t>
  </si>
  <si>
    <t xml:space="preserve">disipación del calor y humo, salvo que se justifique documentalmente que la cubierta no </t>
  </si>
  <si>
    <t>mayor o igual a 2,5 metros, la longitud máxima será de 45 metros.</t>
  </si>
  <si>
    <t xml:space="preserve">perjudica este objetivo, así como que se cumplen los criterios de abertura fijados en el </t>
  </si>
  <si>
    <t>v. Separación mínima entre pilas: 1,5 metros.</t>
  </si>
  <si>
    <t>anexo I para la configuración tipo D.</t>
  </si>
  <si>
    <t xml:space="preserve">vi. Cada 65 metros de almacenamiento se deberá disponer de una separación </t>
  </si>
  <si>
    <t xml:space="preserve">b) Cuando no exista la separación indicada en el párrafo anterior entre el perímetro </t>
  </si>
  <si>
    <t xml:space="preserve">entre pilas de, al menos, 5 metros de anchura. En el caso de que la altura de la pila sea </t>
  </si>
  <si>
    <t xml:space="preserve">del área y los materiales combustibles almacenados en ella, deberán existir elementos </t>
  </si>
  <si>
    <t xml:space="preserve">mayor de 5 metros, dicha separación deberá ampliarse a la misma distancia que dicha </t>
  </si>
  <si>
    <t xml:space="preserve">compartimentadores que aseguren una resistencia al fuego mínima de EI 60, 90 o 120 </t>
  </si>
  <si>
    <t>altura.</t>
  </si>
  <si>
    <t xml:space="preserve">en áreas de riesgo bajo, medio o alto respectivamente (o REI 60, 90 o 120 si tienen </t>
  </si>
  <si>
    <t xml:space="preserve">b) En otros casos distintos, los materiales se deberán colocar asegurando que se </t>
  </si>
  <si>
    <t xml:space="preserve">función portante) de forma que se garantice la no propagación del incendio del área </t>
  </si>
  <si>
    <t xml:space="preserve">limite la propagación del incendio y se facilite la extinción, de forma que se consiga un </t>
  </si>
  <si>
    <t xml:space="preserve">considerada. Cuando dicha compartimentación se realice por medio de elementos </t>
  </si>
  <si>
    <t xml:space="preserve">resultado equivalente a lo previsto en la letra a). Esta particularidad deberá estar </t>
  </si>
  <si>
    <t xml:space="preserve">separadores verticales situados en el perímetro del área, tales como muros, estos </t>
  </si>
  <si>
    <t>justificada.</t>
  </si>
  <si>
    <t xml:space="preserve">tendrán una altura de, al menos, 1 metro superior a la altura de los materiales </t>
  </si>
  <si>
    <t xml:space="preserve">combustibles almacenados y serán prolongados 1 metro en proyección horizontal en sus </t>
  </si>
  <si>
    <t>extremos laterales.</t>
  </si>
  <si>
    <t xml:space="preserve">En el caso de que una parte del perímetro del área sea colindante con una parte de </t>
  </si>
  <si>
    <t xml:space="preserve">una fachada de un edificio y no exista separación a los materiales combustibles, esa </t>
  </si>
  <si>
    <t xml:space="preserve">parte de la fachada también deberá poseer la citada resistencia al fuego (EI o REI) y las </t>
  </si>
  <si>
    <t xml:space="preserve">dimensiones indicadas anteriormente. Además, en el caso de tener la fachada una altura </t>
  </si>
  <si>
    <t xml:space="preserve">superior a la indicada, no podrá tener zonas cuya resistencia al fuego sea inferior a la EI </t>
  </si>
  <si>
    <t xml:space="preserve">o REI solicitadas hasta, al menos, 5 metros por encima de la altura de los materiales </t>
  </si>
  <si>
    <t xml:space="preserve">combustibles almacenados, pudiendo justificadamente reducirse esta altura hasta un </t>
  </si>
  <si>
    <t xml:space="preserve">mínimo de 1 metro por encima de la altura de los materiales, siempre que se justifique </t>
  </si>
  <si>
    <t xml:space="preserve">que, debido a las características del material almacenado (por su escasa cantidad, baja </t>
  </si>
  <si>
    <t xml:space="preserve">combustibilidad, disposición u otros motivos), dicha separación es suficiente para evitar </t>
  </si>
  <si>
    <t>la propagación.</t>
  </si>
  <si>
    <t xml:space="preserve">En el caso de existencia de puertas en la fachada que requieran de resistencia al </t>
  </si>
  <si>
    <t>fuego, pueden aplicarse las mismas consideraciones que en la nota 3 de la tabla 2.1.2.</t>
  </si>
  <si>
    <t xml:space="preserve">c) En el caso de espacios abiertos con zonas con muelles de carga, </t>
  </si>
  <si>
    <t xml:space="preserve">estacionamientos de vehículos, pequeños porches, movimientos habituales de </t>
  </si>
  <si>
    <t xml:space="preserve">materiales en tránsito situados a la salida de un edificio, así como otras actividades </t>
  </si>
  <si>
    <t xml:space="preserve">similares, si no fuera posible realizar la separación señalada en los epígrafes anteriores </t>
  </si>
  <si>
    <t xml:space="preserve">respecto a los edificios del establecimiento industrial considerado, se tomarán acciones </t>
  </si>
  <si>
    <t xml:space="preserve">para considerar el posible riesgo que puedan generar dichas actividades, debiendo en </t>
  </si>
  <si>
    <t xml:space="preserve">este caso las bocas de incendio equipadas, hidrantes o extintores que puedan ser </t>
  </si>
  <si>
    <t xml:space="preserve">requeridos según el anexo III (en el interior o exterior de los edificios), estar situados de </t>
  </si>
  <si>
    <t>forma que puedan actuar en caso de incendio en estas zonas.</t>
  </si>
  <si>
    <t>Nombre edificio</t>
  </si>
  <si>
    <t>Nombre sector</t>
  </si>
  <si>
    <t>Nivel de riesgo</t>
  </si>
  <si>
    <t>Superficie</t>
  </si>
  <si>
    <t>Superficie admisible</t>
  </si>
  <si>
    <t>Cumple</t>
  </si>
  <si>
    <t>Medio 5</t>
  </si>
  <si>
    <t>Situación elemento</t>
  </si>
  <si>
    <t>Techos y Paredes</t>
  </si>
  <si>
    <t>Suelos</t>
  </si>
  <si>
    <t>Resistencia entre Sectores</t>
  </si>
  <si>
    <t>Resistencia Exterior</t>
  </si>
  <si>
    <t>Personas</t>
  </si>
  <si>
    <t>Nº mínimo de salidas</t>
  </si>
  <si>
    <t>Longitud de recorridos de evacuación</t>
  </si>
  <si>
    <t>Estabilidad al fuego estructura</t>
  </si>
  <si>
    <t>Nivel de Riesgo</t>
  </si>
  <si>
    <t>Exige</t>
  </si>
  <si>
    <t>Nombre Edificio</t>
  </si>
  <si>
    <t>Superfice</t>
  </si>
  <si>
    <t>Exige Hidrantes Camiones</t>
  </si>
  <si>
    <t>Exige Hidrantes Directa</t>
  </si>
  <si>
    <t>Numero</t>
  </si>
  <si>
    <t>Tipo</t>
  </si>
  <si>
    <t>Maxima Superficie construida admisible para cada sector de incendio Tabla 2.1.1</t>
  </si>
  <si>
    <t>Nivel de riesgo intrínseco</t>
  </si>
  <si>
    <t>Tipo AV</t>
  </si>
  <si>
    <t>Tipo AH</t>
  </si>
  <si>
    <t xml:space="preserve">Tipo B </t>
  </si>
  <si>
    <t xml:space="preserve">Tipo C </t>
  </si>
  <si>
    <t>Medio 3.</t>
  </si>
  <si>
    <t xml:space="preserve">Nota 2 </t>
  </si>
  <si>
    <t>Bajo 1.</t>
  </si>
  <si>
    <t>SIN LÍMITE</t>
  </si>
  <si>
    <t>Tipo de recinto</t>
  </si>
  <si>
    <t>Nota 2: Si la fachada accesible del establecimiento industrial es igual o superior al 50 por ciento de su perímetro, las máximas superficies construidas admisibles, indicadas en la tabla, podrán multiplicarse por 1,25</t>
  </si>
  <si>
    <t>Bajo 2.</t>
  </si>
  <si>
    <t>Nota 3: Cuando se instalen sistemas fijos de extinción por rociadores automáticos que cubran la totalidad del sector, las máximas superficies construidas admisibles indicadas en la tabla podrán multiplicarse por 2. Como alternativa, en vez de rociadores, también se aceptará el uso de otros sistemas fijos de extinción</t>
  </si>
  <si>
    <t>Medio 4.</t>
  </si>
  <si>
    <t>Medio 5.</t>
  </si>
  <si>
    <t>Alto 6.</t>
  </si>
  <si>
    <t>NO ADMITIDO</t>
  </si>
  <si>
    <t>Alto 7.</t>
  </si>
  <si>
    <t>Alto 8.</t>
  </si>
  <si>
    <t>Nota 2 y 3</t>
  </si>
  <si>
    <t>Las notas 2 y 3 pueden aplicarse simultáneamente. De este modo, si coincidieran estas dos situaciones, el factor de incremento de la superficie máxima del sector de incendio sería 2,5</t>
  </si>
  <si>
    <t>Nota</t>
  </si>
  <si>
    <t>En configuraciones de tipo C, el sector de incendios puede tener cualquier superficie, siempre que todo el sector cuente con un sistema fijo de extinción automática y la distancia a otros establecimientos, así como a límites de parcelas con posibilidad de edificar en ellas, sea superior a 10 metros, libres de mercancías combustibles o elementos intermedios susceptibles de propagar el incendio.En el caso de existir dos establecimientos colindantes, estos 10 metros pueden estar repartidos entre ambos siempre que haya un acuerdo vinculante y permanente en el tiempo entre ellos para mantener dicho espacio libre de edificaciones y de mercancías combustibles. Por otro lado, en los 10 metros puede existir vegetación, vehículos aparcados y otros elementos puntuales siempre que no se perjudiquen los viales de aproximación y los espacios de maniobra previstos en la sección 4. Además, para determinar la distancia citada de 10 metros también se puede contabilizar el espacio de la vía pública.</t>
  </si>
  <si>
    <t>Indice</t>
  </si>
  <si>
    <t>Configuracion</t>
  </si>
  <si>
    <t>Nri</t>
  </si>
  <si>
    <t>Rasante</t>
  </si>
  <si>
    <t>&lt; Fachada Accesible</t>
  </si>
  <si>
    <t>Admitido</t>
  </si>
  <si>
    <t>&gt; Altura de evacuación</t>
  </si>
  <si>
    <t>Factor</t>
  </si>
  <si>
    <t>AV</t>
  </si>
  <si>
    <t>Bajo 1</t>
  </si>
  <si>
    <t>A</t>
  </si>
  <si>
    <t>Factor fachada accesible &gt;50%</t>
  </si>
  <si>
    <t>Si NRI Tipo C y D &gt; 10m</t>
  </si>
  <si>
    <t>Medio 3</t>
  </si>
  <si>
    <t>N/A</t>
  </si>
  <si>
    <t>Instalación Extinción automática</t>
  </si>
  <si>
    <t>SIN LIMITE</t>
  </si>
  <si>
    <t>Medio 4</t>
  </si>
  <si>
    <t>Nota 2 - 3</t>
  </si>
  <si>
    <t>Si ambas condiciones</t>
  </si>
  <si>
    <t>NO/A</t>
  </si>
  <si>
    <t>N</t>
  </si>
  <si>
    <t>Alto 7</t>
  </si>
  <si>
    <t>Alto 8</t>
  </si>
  <si>
    <t>AH</t>
  </si>
  <si>
    <t>Nota 5</t>
  </si>
  <si>
    <t>Como excepción a lo indicado en la tabla, se podrán implantar sectores de riesgo intrínseco alto en edificios tipo AV y de riesgo intrínseco alto 8 en edificios tipo AH o B si se cumplen con los siguientes requisitos:</t>
  </si>
  <si>
    <t xml:space="preserve"> Nota 5 a) Estar destinados exclusivamente a almacenamiento, o bien, sin coexistir con actividades en el mismo sector que entrañen un aumento significativo de la probabilidad de inicio de un incendio.No podrán realizarse operaciones de carga de baterías (tales como carrerillas u otras), salvo que el sector disponga de sistema fijo de extinción automática y de sistema de detección y alarma de incendios con dispositivos tanto para la activación automática como manual (detectores y pulsadores manuales). En dicho caso, estas operaciones de carga deberán realizarse en un espacio separado al menos 2,5 metros de cualquier material combustible.</t>
  </si>
  <si>
    <t>Nota 5 b) En edificios tipo AV o AH la estructura, incluyendo los muros y cerramientos superiores (tales como cubiertas) delimitadores del sector de incendio, será independiente del resto del edificio de forma que un potencial incendio en el interior del sector no afecte al resto de la estructura del edificio. Alternativamente, en tipo AH podrá disponerse de estructura compartida, debiendo tener en todo caso cubierta independiente, siempre que se justifique técnicamente que el posible colapso de la estructura no afecte a los establecimientos colindantes, ni a la sectorización con estos, y además se disponga de un sistema fijo de extinción automática y de un sistema para el control de humos y de calor según el apartado 8.3 del anexo III.</t>
  </si>
  <si>
    <t>Nota 5 c) El sector no puede estar en planta bajo rasante, su altura de evacuación no debe ser superior a 15 metros y el establecimiento debe disponer de una fachada accesible de, al menos, 5 metros.</t>
  </si>
  <si>
    <t>Nota 5 d) Deberá disponer de, al menos, una boca de incendio equipada (BIE) si su superficie es superior a 25 m2 , ya sea colocada en su interior, o bien colocada en su exterior cerca de la entrada (en sectores pequeños), de forma que pueda alcanzar todo el interior.</t>
  </si>
  <si>
    <t>e) La máxima superficie del sector será de 100 m2, pudiendo ser mayor en los siguientes casos: i. La superficie podrá ser de hasta 300 m2 en tipo AV, 1.500 m2 en tipo AH y 3.000 m2 en tipo B si se dispone de todos los siguientes sistemas: sistema fijo de extinción automática, sistema de detección y alarma de incendios con dispositivos tanto para la activación automática como manual (detectores y pulsadores manuales) y sistema para el control de humos y de calor según el apartado 8.3 del anexo III.</t>
  </si>
  <si>
    <t>ii. La superficie podrá ser de hasta 5.000 m2 en tipo AH (riesgo alto 6, 7 y 8) y 6.000 m2 en tipo B (riesgo alto 8) si, además de todo lo anterior (incluyendo todo lo indicado en el párrafo anterior y también todos los demás requisitos de la presente nota), el sistema fijo de extinción automática está diseñado para la respuesta rápida y supresión temprana mediante rociadores ESFR, y debiendo el sistema de detección y alarma estar conectado a una central receptora de gestión remota para la monitorización continua y verificación de las alarmas de incendio. Además, el sector deberá estar situado en la planta de salida del edificio, contando con dos o más salidas directas al exterior y con al menos dos zonas de fachada accesible que representen como mínimo el 30 % del perímetro de la planta del sector, situadas preferentemente en fachadas opuestas, o como mínimo, perpendiculares en el caso de naves situadas en esquina. El edificio deberá ser de una sola planta en la superficie ocupada por el sector (pudiendo existir pasos elevados y entreplantas que cumplan los requisitos del apartado 2 del anexo IV, pero no sótanos ni plantas superiores) y debiendo realizarse los almacenamientos de materiales combustibles en estanterías, separadas entre ellas por pasillos de al menos 3 metros de ancho libres de mercancías combustibles o elementos intermedios susceptibles de propagar el incendio.(Estos valores no podrán aumentarse por aplicación del resto de notas de la presente tabla).</t>
  </si>
  <si>
    <t xml:space="preserve"> </t>
  </si>
  <si>
    <t>1.5 Las áreas de incendio en espacios abiertos de configuración tipo D (excepto las de riesgo bajo nivel 1), deberán estar separadas de otras zonas del mismo establecimiento por medio de una de las siguientes opciones:a) Por medio de una separación mínima de 5 metros entre el perímetro del área y los materiales combustibles almacenados en ella que puedan propagar un incendio. En el caso de que exista un almacenamiento de materiales combustibles de altura mayor de 5 metros, la separación entre estos y el perímetro del área deberá ampliarse a la misma distancia que dicha altura. En el caso de que la separación citada sea entre dos áreas del mismo establecimiento, se admitirá que dicha separación esté repartida entre ambas áreas.La separación perimetral señalada deberá estar descubierta para permitir la rápida disipación del calor y humo, salvo que se justifique documentalmente que la cubierta no perjudica este objetivo, así como que se cumplen los criterios de abertura fijados en el anexo I para la configuración tipo D.b) Cuando no exista la separación indicada en el párrafo anterior entre el perímetro del área y los materiales combustibles almacenados en ella, deberán existir elementos compartimentadores que aseguren una resistencia al fuego mínima de EI 60, 90 o 120 en áreas de riesgo bajo, medio o alto respectivamente (o REI 60, 90 o 120 si tienen función portante) de forma que se garantice la no propagación del incendio del área considerada. Cuando dicha compartimentación se realice por medio de elementos separadores verticales situados en el perímetro del área, tales como muros, estos tendrán una altura de, al menos, 1 metro superior a la altura de los materiales combustibles almacenados y serán prolongados 1 metro en proyección horizontal en sus extremos laterales.En el caso de que una parte del perímetro del área sea colindante con una parte de una fachada de un edificio y no exista separación a los materiales combustibles, esa parte de la fachada también deberá poseer la citada resistencia al fuego (EI o REI) y las dimensiones indicadas anteriormente. Además, en el caso de tener la fachada una altura superior a la indicada, no podrá tener zonas cuya resistencia al fuego sea inferior a la EI o REI solicitadas hasta, al menos, 5 metros por encima de la altura de los materiales combustibles almacenados, pudiendo justificadamente reducirse esta altura hasta un mínimo de 1 metro por encima de la altura de los materiales, siempre que se justifique que, debido a las características del material almacenado (por su escasa cantidad, baja combustibilidad, disposición u otros motivos), dicha separación es suficiente para evitar la propagación.En el caso de existencia de puertas en la fachada que requieran de resistencia al fuego, pueden aplicarse las mismas consideraciones que en la nota 3 de la tabla 2.1.2.c) En el caso de espacios abiertos con zonas con muelles de carga, estacionamientos de vehículos, pequeños porches, movimientos habituales de materiales en tránsito situados a la salida de un edificio, así como otras actividades similares, si no fuera posible realizar la separación señalada en los epígrafes anteriores respecto a los edificios del establecimiento industrial considerado, se tomarán acciones para considerar el posible riesgo que puedan generar dichas actividades, debiendo en este caso las bocas de incendio equipadas, hidrantes o extintores que puedan ser requeridos según el anexo III (en el interior o exterior de los edificios), estar situados de forma que puedan actuar en caso de incendio en estas zonas</t>
  </si>
  <si>
    <t>1.6 En las áreas de incendio en espacios abiertos (configuración tipo D), la distribución de los materiales combustibles deberá cumplir los siguientes requisitos:a) Para materiales sólidos, o bien materiales envasados, que se encuentren almacenados por medio de un apilamiento unos sobre otros (o agrupados, amontonados, a granel o de otra forma equivalente):i. Superficie máxima de cada pila: 500 m2.ii. Volumen máximo de cada pila: 3.500 m3.iii. Altura máxima de cada pila: 15 metros.iv. Longitud máxima de cada pila: 20 metros. Si la anchura del pasillo entre pilas es mayor o igual a 2,5 metros, la longitud máxima será de 45 metros.v. Separación mínima entre pilas: 1,5 metros.vi. Cada 65 metros de almacenamiento se deberá disponer de una separación entre pilas de, al menos, 5 metros de anchura. En el caso de que la altura de la pila sea mayor de 5 metros, dicha separación deberá ampliarse a la misma distancia que dicha altura.b) En otros casos distintos, los materiales se deberán colocar asegurando que se limite la propagación del incendio y se facilite la extinción, de forma que se consiga un resultado equivalente a lo previsto en la letra a). Esta particularidad deberá estar justificada.</t>
  </si>
  <si>
    <t>D</t>
  </si>
  <si>
    <t>Bajo Rasante</t>
  </si>
  <si>
    <t>Resistencia Al fuego de los elementos constructivos que delimitan sectores de incendio Tabla 2.1.2</t>
  </si>
  <si>
    <r>
      <rPr>
        <b/>
        <sz val="8"/>
        <color rgb="FF000000"/>
        <rFont val="Arial"/>
        <family val="2"/>
      </rPr>
      <t>T</t>
    </r>
    <r>
      <rPr>
        <b/>
        <sz val="8"/>
        <color rgb="FF000000"/>
        <rFont val="Arial"/>
        <family val="2"/>
      </rPr>
      <t>ipo</t>
    </r>
    <r>
      <rPr>
        <b/>
        <sz val="8"/>
        <color rgb="FF000000"/>
        <rFont val="Arial"/>
        <family val="2"/>
      </rPr>
      <t xml:space="preserve"> </t>
    </r>
    <r>
      <rPr>
        <b/>
        <sz val="8"/>
        <color rgb="FF000000"/>
        <rFont val="Arial"/>
        <family val="2"/>
      </rPr>
      <t>A</t>
    </r>
    <r>
      <rPr>
        <b/>
        <sz val="6"/>
        <color rgb="FF000000"/>
        <rFont val="Arial"/>
        <family val="2"/>
      </rPr>
      <t>V</t>
    </r>
  </si>
  <si>
    <r>
      <rPr>
        <b/>
        <sz val="8"/>
        <color rgb="FF000000"/>
        <rFont val="Arial"/>
        <family val="2"/>
      </rPr>
      <t>T</t>
    </r>
    <r>
      <rPr>
        <b/>
        <sz val="8"/>
        <color rgb="FF000000"/>
        <rFont val="Arial"/>
        <family val="2"/>
      </rPr>
      <t>ipo</t>
    </r>
    <r>
      <rPr>
        <b/>
        <sz val="8"/>
        <color rgb="FF000000"/>
        <rFont val="Arial"/>
        <family val="2"/>
      </rPr>
      <t xml:space="preserve"> </t>
    </r>
    <r>
      <rPr>
        <b/>
        <sz val="8"/>
        <color rgb="FF000000"/>
        <rFont val="Arial"/>
        <family val="2"/>
      </rPr>
      <t>A</t>
    </r>
    <r>
      <rPr>
        <b/>
        <sz val="6"/>
        <color rgb="FF000000"/>
        <rFont val="Arial"/>
        <family val="2"/>
      </rPr>
      <t>H</t>
    </r>
  </si>
  <si>
    <t>Tipo B</t>
  </si>
  <si>
    <t>Tipo C</t>
  </si>
  <si>
    <r>
      <rPr>
        <b/>
        <sz val="8"/>
        <color rgb="FF000000"/>
        <rFont val="Arial"/>
        <family val="2"/>
      </rPr>
      <t>Nivel</t>
    </r>
    <r>
      <rPr>
        <b/>
        <sz val="8"/>
        <color rgb="FF000000"/>
        <rFont val="Arial"/>
        <family val="2"/>
      </rPr>
      <t xml:space="preserve"> </t>
    </r>
    <r>
      <rPr>
        <b/>
        <sz val="8"/>
        <color rgb="FF000000"/>
        <rFont val="Arial"/>
        <family val="2"/>
      </rPr>
      <t xml:space="preserve">de
</t>
    </r>
    <r>
      <rPr>
        <b/>
        <sz val="8"/>
        <color rgb="FF000000"/>
        <rFont val="Arial"/>
        <family val="2"/>
      </rPr>
      <t>riesgo</t>
    </r>
    <r>
      <rPr>
        <b/>
        <sz val="8"/>
        <color rgb="FF000000"/>
        <rFont val="Arial"/>
        <family val="2"/>
      </rPr>
      <t xml:space="preserve"> </t>
    </r>
    <r>
      <rPr>
        <b/>
        <sz val="8"/>
        <color rgb="FF000000"/>
        <rFont val="Arial"/>
        <family val="2"/>
      </rPr>
      <t>intrínseco</t>
    </r>
  </si>
  <si>
    <r>
      <rPr>
        <b/>
        <sz val="8"/>
        <color rgb="FF000000"/>
        <rFont val="Arial"/>
        <family val="2"/>
      </rPr>
      <t>Planta</t>
    </r>
    <r>
      <rPr>
        <b/>
        <sz val="8"/>
        <color rgb="FF000000"/>
        <rFont val="Arial"/>
        <family val="2"/>
      </rPr>
      <t xml:space="preserve"> </t>
    </r>
    <r>
      <rPr>
        <b/>
        <sz val="8"/>
        <color rgb="FF000000"/>
        <rFont val="Arial"/>
        <family val="2"/>
      </rPr>
      <t>bajo</t>
    </r>
    <r>
      <rPr>
        <b/>
        <sz val="8"/>
        <color rgb="FF000000"/>
        <rFont val="Arial"/>
        <family val="2"/>
      </rPr>
      <t xml:space="preserve"> </t>
    </r>
    <r>
      <rPr>
        <b/>
        <sz val="8"/>
        <color rgb="FF000000"/>
        <rFont val="Arial"/>
        <family val="2"/>
      </rPr>
      <t>rasante</t>
    </r>
    <r>
      <rPr>
        <b/>
        <sz val="8"/>
        <color rgb="FF000000"/>
        <rFont val="Arial"/>
        <family val="2"/>
      </rPr>
      <t xml:space="preserve"> </t>
    </r>
    <r>
      <rPr>
        <b/>
        <sz val="8"/>
        <color rgb="FF000000"/>
        <rFont val="Arial"/>
        <family val="2"/>
      </rPr>
      <t>(sótano)</t>
    </r>
  </si>
  <si>
    <r>
      <rPr>
        <b/>
        <sz val="8"/>
        <color rgb="FF000000"/>
        <rFont val="Arial"/>
        <family val="2"/>
      </rPr>
      <t>Planta</t>
    </r>
    <r>
      <rPr>
        <b/>
        <sz val="8"/>
        <color rgb="FF000000"/>
        <rFont val="Arial"/>
        <family val="2"/>
      </rPr>
      <t xml:space="preserve"> </t>
    </r>
    <r>
      <rPr>
        <b/>
        <sz val="8"/>
        <color rgb="FF000000"/>
        <rFont val="Arial"/>
        <family val="2"/>
      </rPr>
      <t>sobre</t>
    </r>
    <r>
      <rPr>
        <b/>
        <sz val="8"/>
        <color rgb="FF000000"/>
        <rFont val="Arial"/>
        <family val="2"/>
      </rPr>
      <t xml:space="preserve"> </t>
    </r>
    <r>
      <rPr>
        <b/>
        <sz val="8"/>
        <color rgb="FF000000"/>
        <rFont val="Arial"/>
        <family val="2"/>
      </rPr>
      <t>rasante</t>
    </r>
  </si>
  <si>
    <r>
      <rPr>
        <b/>
        <sz val="8"/>
        <color rgb="FF000000"/>
        <rFont val="Arial"/>
        <family val="2"/>
      </rPr>
      <t>Planta</t>
    </r>
    <r>
      <rPr>
        <b/>
        <sz val="8"/>
        <color rgb="FF000000"/>
        <rFont val="Arial"/>
        <family val="2"/>
      </rPr>
      <t xml:space="preserve"> </t>
    </r>
    <r>
      <rPr>
        <b/>
        <sz val="8"/>
        <color rgb="FF000000"/>
        <rFont val="Arial"/>
        <family val="2"/>
      </rPr>
      <t>bajo</t>
    </r>
    <r>
      <rPr>
        <b/>
        <sz val="8"/>
        <color rgb="FF000000"/>
        <rFont val="Arial"/>
        <family val="2"/>
      </rPr>
      <t xml:space="preserve"> </t>
    </r>
    <r>
      <rPr>
        <b/>
        <sz val="8"/>
        <color rgb="FF000000"/>
        <rFont val="Arial"/>
        <family val="2"/>
      </rPr>
      <t>rasante</t>
    </r>
    <r>
      <rPr>
        <b/>
        <sz val="8"/>
        <color rgb="FF000000"/>
        <rFont val="Arial"/>
        <family val="2"/>
      </rPr>
      <t xml:space="preserve"> </t>
    </r>
    <r>
      <rPr>
        <b/>
        <sz val="8"/>
        <color rgb="FF000000"/>
        <rFont val="Arial"/>
        <family val="2"/>
      </rPr>
      <t>(sótano)</t>
    </r>
  </si>
  <si>
    <r>
      <rPr>
        <b/>
        <sz val="8"/>
        <color rgb="FF000000"/>
        <rFont val="Arial"/>
        <family val="2"/>
      </rPr>
      <t>Planta</t>
    </r>
    <r>
      <rPr>
        <b/>
        <sz val="8"/>
        <color rgb="FF000000"/>
        <rFont val="Arial"/>
        <family val="2"/>
      </rPr>
      <t xml:space="preserve"> </t>
    </r>
    <r>
      <rPr>
        <b/>
        <sz val="8"/>
        <color rgb="FF000000"/>
        <rFont val="Arial"/>
        <family val="2"/>
      </rPr>
      <t>sobre</t>
    </r>
    <r>
      <rPr>
        <b/>
        <sz val="8"/>
        <color rgb="FF000000"/>
        <rFont val="Arial"/>
        <family val="2"/>
      </rPr>
      <t xml:space="preserve"> </t>
    </r>
    <r>
      <rPr>
        <b/>
        <sz val="8"/>
        <color rgb="FF000000"/>
        <rFont val="Arial"/>
        <family val="2"/>
      </rPr>
      <t>rasante</t>
    </r>
  </si>
  <si>
    <r>
      <rPr>
        <b/>
        <sz val="8"/>
        <color rgb="FF000000"/>
        <rFont val="Arial"/>
        <family val="2"/>
      </rPr>
      <t>Planta</t>
    </r>
    <r>
      <rPr>
        <b/>
        <sz val="8"/>
        <color rgb="FF000000"/>
        <rFont val="Arial"/>
        <family val="2"/>
      </rPr>
      <t xml:space="preserve"> </t>
    </r>
    <r>
      <rPr>
        <b/>
        <sz val="8"/>
        <color rgb="FF000000"/>
        <rFont val="Arial"/>
        <family val="2"/>
      </rPr>
      <t>bajo</t>
    </r>
    <r>
      <rPr>
        <b/>
        <sz val="8"/>
        <color rgb="FF000000"/>
        <rFont val="Arial"/>
        <family val="2"/>
      </rPr>
      <t xml:space="preserve"> </t>
    </r>
    <r>
      <rPr>
        <b/>
        <sz val="8"/>
        <color rgb="FF000000"/>
        <rFont val="Arial"/>
        <family val="2"/>
      </rPr>
      <t>rasante</t>
    </r>
    <r>
      <rPr>
        <b/>
        <sz val="8"/>
        <color rgb="FF000000"/>
        <rFont val="Arial"/>
        <family val="2"/>
      </rPr>
      <t xml:space="preserve"> </t>
    </r>
    <r>
      <rPr>
        <b/>
        <sz val="8"/>
        <color rgb="FF000000"/>
        <rFont val="Arial"/>
        <family val="2"/>
      </rPr>
      <t>(sótano)</t>
    </r>
  </si>
  <si>
    <r>
      <rPr>
        <b/>
        <sz val="8"/>
        <color rgb="FF000000"/>
        <rFont val="Arial"/>
        <family val="2"/>
      </rPr>
      <t>Planta</t>
    </r>
    <r>
      <rPr>
        <b/>
        <sz val="8"/>
        <color rgb="FF000000"/>
        <rFont val="Arial"/>
        <family val="2"/>
      </rPr>
      <t xml:space="preserve"> </t>
    </r>
    <r>
      <rPr>
        <b/>
        <sz val="8"/>
        <color rgb="FF000000"/>
        <rFont val="Arial"/>
        <family val="2"/>
      </rPr>
      <t>sobre</t>
    </r>
    <r>
      <rPr>
        <b/>
        <sz val="8"/>
        <color rgb="FF000000"/>
        <rFont val="Arial"/>
        <family val="2"/>
      </rPr>
      <t xml:space="preserve"> </t>
    </r>
    <r>
      <rPr>
        <b/>
        <sz val="8"/>
        <color rgb="FF000000"/>
        <rFont val="Arial"/>
        <family val="2"/>
      </rPr>
      <t>rasante</t>
    </r>
  </si>
  <si>
    <r>
      <rPr>
        <b/>
        <sz val="8"/>
        <color rgb="FF000000"/>
        <rFont val="Arial"/>
        <family val="2"/>
      </rPr>
      <t>Planta</t>
    </r>
    <r>
      <rPr>
        <b/>
        <sz val="8"/>
        <color rgb="FF000000"/>
        <rFont val="Arial"/>
        <family val="2"/>
      </rPr>
      <t xml:space="preserve"> </t>
    </r>
    <r>
      <rPr>
        <b/>
        <sz val="8"/>
        <color rgb="FF000000"/>
        <rFont val="Arial"/>
        <family val="2"/>
      </rPr>
      <t>bajo</t>
    </r>
    <r>
      <rPr>
        <b/>
        <sz val="8"/>
        <color rgb="FF000000"/>
        <rFont val="Arial"/>
        <family val="2"/>
      </rPr>
      <t xml:space="preserve"> </t>
    </r>
    <r>
      <rPr>
        <b/>
        <sz val="8"/>
        <color rgb="FF000000"/>
        <rFont val="Arial"/>
        <family val="2"/>
      </rPr>
      <t>rasante</t>
    </r>
    <r>
      <rPr>
        <b/>
        <sz val="8"/>
        <color rgb="FF000000"/>
        <rFont val="Arial"/>
        <family val="2"/>
      </rPr>
      <t xml:space="preserve"> </t>
    </r>
    <r>
      <rPr>
        <b/>
        <sz val="8"/>
        <color rgb="FF000000"/>
        <rFont val="Arial"/>
        <family val="2"/>
      </rPr>
      <t>(sótano)</t>
    </r>
  </si>
  <si>
    <r>
      <rPr>
        <b/>
        <sz val="8"/>
        <color rgb="FF000000"/>
        <rFont val="Arial"/>
        <family val="2"/>
      </rPr>
      <t>Planta</t>
    </r>
    <r>
      <rPr>
        <b/>
        <sz val="8"/>
        <color rgb="FF000000"/>
        <rFont val="Arial"/>
        <family val="2"/>
      </rPr>
      <t xml:space="preserve"> </t>
    </r>
    <r>
      <rPr>
        <b/>
        <sz val="8"/>
        <color rgb="FF000000"/>
        <rFont val="Arial"/>
        <family val="2"/>
      </rPr>
      <t>sobre</t>
    </r>
    <r>
      <rPr>
        <b/>
        <sz val="8"/>
        <color rgb="FF000000"/>
        <rFont val="Arial"/>
        <family val="2"/>
      </rPr>
      <t xml:space="preserve"> </t>
    </r>
    <r>
      <rPr>
        <b/>
        <sz val="8"/>
        <color rgb="FF000000"/>
        <rFont val="Arial"/>
        <family val="2"/>
      </rPr>
      <t>rasante</t>
    </r>
  </si>
  <si>
    <t>Riesgo bajo.</t>
  </si>
  <si>
    <t>REI 120</t>
  </si>
  <si>
    <r>
      <rPr>
        <sz val="8"/>
        <color rgb="FF000000"/>
        <rFont val="Times New Roman"/>
        <family val="1"/>
      </rPr>
      <t>Riesgo</t>
    </r>
    <r>
      <rPr>
        <sz val="8"/>
        <color rgb="FF000000"/>
        <rFont val="Times New Roman"/>
        <family val="1"/>
      </rPr>
      <t xml:space="preserve"> </t>
    </r>
    <r>
      <rPr>
        <sz val="8"/>
        <color rgb="FF000000"/>
        <rFont val="Times New Roman"/>
        <family val="1"/>
      </rPr>
      <t>medio.</t>
    </r>
  </si>
  <si>
    <r>
      <rPr>
        <sz val="8"/>
        <color rgb="FF000000"/>
        <rFont val="Times New Roman"/>
        <family val="1"/>
      </rPr>
      <t>NO</t>
    </r>
    <r>
      <rPr>
        <sz val="8"/>
        <color rgb="FF000000"/>
        <rFont val="Times New Roman"/>
        <family val="1"/>
      </rPr>
      <t xml:space="preserve"> </t>
    </r>
    <r>
      <rPr>
        <sz val="8"/>
        <color rgb="FF000000"/>
        <rFont val="Times New Roman"/>
        <family val="1"/>
      </rPr>
      <t>ADMITIDO</t>
    </r>
  </si>
  <si>
    <t>Riesgo alto.</t>
  </si>
  <si>
    <r>
      <rPr>
        <sz val="8"/>
        <color rgb="FF000000"/>
        <rFont val="Times New Roman"/>
        <family val="1"/>
      </rPr>
      <t>NO</t>
    </r>
    <r>
      <rPr>
        <sz val="8"/>
        <color rgb="FF000000"/>
        <rFont val="Times New Roman"/>
        <family val="1"/>
      </rPr>
      <t xml:space="preserve"> </t>
    </r>
    <r>
      <rPr>
        <sz val="8"/>
        <color rgb="FF000000"/>
        <rFont val="Times New Roman"/>
        <family val="1"/>
      </rPr>
      <t>ADMITIDO</t>
    </r>
  </si>
  <si>
    <r>
      <rPr>
        <sz val="8"/>
        <color rgb="FF000000"/>
        <rFont val="Times New Roman"/>
        <family val="1"/>
      </rPr>
      <t>NO</t>
    </r>
    <r>
      <rPr>
        <sz val="8"/>
        <color rgb="FF000000"/>
        <rFont val="Times New Roman"/>
        <family val="1"/>
      </rPr>
      <t xml:space="preserve"> </t>
    </r>
    <r>
      <rPr>
        <sz val="8"/>
        <color rgb="FF000000"/>
        <rFont val="Times New Roman"/>
        <family val="1"/>
      </rPr>
      <t>ADMITIDO</t>
    </r>
  </si>
  <si>
    <r>
      <rPr>
        <sz val="8"/>
        <color rgb="FF000000"/>
        <rFont val="Times New Roman"/>
        <family val="1"/>
      </rPr>
      <t>NO</t>
    </r>
    <r>
      <rPr>
        <sz val="8"/>
        <color rgb="FF000000"/>
        <rFont val="Times New Roman"/>
        <family val="1"/>
      </rPr>
      <t xml:space="preserve"> </t>
    </r>
    <r>
      <rPr>
        <sz val="8"/>
        <color rgb="FF000000"/>
        <rFont val="Times New Roman"/>
        <family val="1"/>
      </rPr>
      <t>ADMITIDO</t>
    </r>
  </si>
  <si>
    <t>Resistencia</t>
  </si>
  <si>
    <t>Puertas Sin Vestibulo</t>
  </si>
  <si>
    <t>Puertas Con Vestibulos</t>
  </si>
  <si>
    <t>Puertas Grandes Sin Vestibulo</t>
  </si>
  <si>
    <t>REI120</t>
  </si>
  <si>
    <t>REI 7.5</t>
  </si>
  <si>
    <t>Nota 5: Ascensores</t>
  </si>
  <si>
    <t>Resistecia al fuego elementos inter sectoriales sobre rasante con cubierta ligera, sistema fijo de extinción y sistema de control de humos y de calor Tabla 2.1.3</t>
  </si>
  <si>
    <t>Los ascensores que comuniquen sectores de incendio diferentes estarán compartimentados. Los ascensores dispondrán en cada acceso, o bien de puertas E 30 o bien de un vestíbulo de independencia con una puerta REI2 30-C5. Cuando, considerando dos sectores, el más bajo sea un sector de riesgo bajo nivel 1, o bien si no lo es, se opte por disponer en el más bajo tanto una puerta REI2 30-C5 de acceso al vestíbulo de independencia del ascensor, como una puerta E 30 de acceso al ascensor, en el sector más alto no se precisa ninguna de dichas medidas</t>
  </si>
  <si>
    <t>Configuraciones tipo D</t>
  </si>
  <si>
    <t>1.5 Las áreas de incendio en espacios abiertos de configuración tipo D (excepto las de riesgo bajo nivel 1), deberán estar separadas de otras zonas del mismo establecimiento por medio de una de las siguientes opciones:a) Por medio de una separación mínima de 5 metros entre el perímetro del área y los materiales combustibles almacenados en ella que puedan propagar un incendio. En el caso de que exista un almacenamiento de materiales combustibles de altura mayor de 5 metros, la separación entre estos y el perímetro del área deberá ampliarse a la misma distancia que dicha altura. En el caso de que la separación citada sea entre dos áreas del mismo establecimiento, se admitirá que dicha separación esté repartida entre ambas áreas.La separación perimetral señalada deberá estar descubierta para permitir la rápida disipación del calor y humo, salvo que se justifique documentalmente que la cubierta no perjudica este objetivo, así como que se cumplen los criterios de abertura fijados en el anexo I para la configuración tipo D.b) Cuando no exista la separación indicada en el párrafo anterior entre el perímetro del área y los materiales combustibles almacenados en ella, deberán existir elementos compartimentadores que aseguren una resistencia al fuego mínima de REI 60, 90 o 120 en áreas de riesgo bajo, medio o alto respectivamente (o RREI 60, 90 o 120 si tienen función portante) de forma que se garantice la no propagación del incendio del área considerada. Cuando dicha compartimentación se realice por medio de elementos separadores verticales situados en el perímetro del área, tales como muros, estos tendrán una altura de, al menos, 1 metro superior a la altura de los materiales combustibles almacenados y serán prolongados 1 metro en proyección horizontal en sus extremos laterales.En el caso de que una parte del perímetro del área sea colindante con una parte de una fachada de un edificio y no exista separación a los materiales combustibles, esa parte de la fachada también deberá poseer la citada resistencia al fuego (REI o RREI) y las dimensiones indicadas anteriormente. Además, en el caso de tener la fachada una altura superior a la indicada, no podrá tener zonas cuya resistencia al fuego sea inferior a la REI o RREI solicitadas hasta, al menos, 5 metros por encima de la altura de los materiales combustibles almacenados, pudiendo justificadamente reducirse esta altura hasta un mínimo de 1 metro por encima de la altura de los materiales, siempre que se justifique que, debido a las características del material almacenado (por su escasa cantidad, baja combustibilidad, disposición u otros motivos), dicha separación es suficiente para evitar la propagación.En el caso de existencia de puertas en la fachada que requieran de resistencia al fuego, pueden aplicarse las mismas consideraciones que en la nota 3 de la tabla 2.1.2.c) En el caso de espacios abiertos con zonas con muelles de carga, estacionamientos de vehículos, pequeños porches, movimientos habituales de materiales en tránsito situados a la salida de un edificio, así como otras actividades similares, si no fuera posible realizar la separación señalada en los epígrafes anteriores respecto a los edificios del establecimiento industrial considerado, se tomarán acciones para considerar el posible riesgo que puedan generar dichas actividades, debiendo en este caso las bocas de incendio equipadas, hidrantes o extintores que puedan ser requeridos según el anexo III (en el interior o exterior de los edificios), estar situados de forma que puedan actuar en caso de incendio en estas zonas.1.6 En las áreas de incendio en espacios abiertos (configuración tipo D), la distribución de los materiales combustibles deberá cumplir los siguientes requisitos:a) Para materiales sólidos, o bien materiales envasados, que se encuentren almacenados por medio de un apilamiento unos sobre otros (o agrupados, amontonados, a granel o de otra forma equivalente):i. Superficie máxima de cada pila: 500 m2.ii. Volumen máximo de cada pila: 3.500 m3.iii. Altura máxima de cada pila: 15 metros.iv. Longitud máxima de cada pila: 20 metros. Si la anchura del pasillo entre pilas es mayor o igual a 2,5 metros, la longitud máxima será de 45 metros.v. Separación mínima entre pilas: 1,5 metros.vi. Cada 65 metros de almacenamiento se deberá disponer de una separación entre pilas de, al menos, 5 metros de anchura. En el caso de que la altura de la pila sea mayor de 5 metros, dicha separación deberá ampliarse a la misma distancia que dicha altura.limite la propagación del incendio y se facilite la extinción, de forma que se consiga un resultado equivalente a lo previsto en la letra a). Esta particularidad deberá estar justificada.</t>
  </si>
  <si>
    <t>1.6 En las áreas de incendio en espacios abiertos (configuración tipo D), la distribución de los materiales combustibles deberá cumplir los siguientes requisitos:a) Para materiales sólidos, o bien materiales envasados, que se encuentren almacenados por medio de un apilamiento unos sobre otros (o agrupados, amontonados, a granel o de otra forma equivalente):i. Superficie máxima de cada pila: 500 m2.ii. Volumen máximo de cada pila: 3.500 m3.iii. Altura máxima de cada pila: 15 metros.iv. Longitud máxima de cada pila: 20 metros. Si la anchura del pasillo entre pilas es mayor o igual a 2,5 metros, la longitud máxima será de 45 metros.v. Separación mínima entre pilas: 1,5 metros.vi. Cada 65 metros de almacenamiento se deberá disponer de una separación entre pilas de, al menos, 5 metros de anchura. En el caso de que la altura de la pila sea mayor de 5 metros, dicha separación deberá ampliarse a la misma distancia que dicha altura.limite la propagación del incendio y se facilite la extinción, de forma que se consiga un resultado equivalente a lo previsto en la letra a). Esta particularidad deberá estar justificada.</t>
  </si>
  <si>
    <t>Espacios Ocultos</t>
  </si>
  <si>
    <t>2.1 La compartimentación contra incendios de los sectores debe tener continuidad en los espacios ocultos, tales como patinillos, cámaras, falsos techos, suelos elevados o galerías subterráneas (canalizaciones o conductos) de todo tipo de instalaciones, entre otros, salvo cuando éstos estén compartimentados respecto de los primeros al menos con la misma resistencia al fuego, pudiendo reducirse ésta a la mitad en los registros para mantenimiento y en los sellados de orificios de paso de canalizaciones de líquidos no inflamables ni combustibles.</t>
  </si>
  <si>
    <t>a) Disponer un elemento que, en caso de incendio, obture automáticamente la sección de paso y garantice en dicho punto una resistencia al fuego al menos igual a la del elemento atravesado, tal como una compuerta cortafuegos automática REI t (i↔o) siendo t el tiempo de resistencia al fuego requerida al elemento de compartimentación atravesado, o bien, un dispositivo intumescente de obturación, como por ejemplo, en caso de tuberías que atraviesen un sector de incendios y que estén hechas de material combustible o fusible, en donde el sistema de sellado debe asegurar que el espacio interno que deja la tubería al fundirse o arder también queda sellado.</t>
  </si>
  <si>
    <t>b) Elementos pasantes que aporten una resistencia al menos igual a la del elemento atravesado. Por ejemplo, conductos de ventilación REI t (i↔o) siendo t el tiempo de resistencia al fuego requerida al elemento de compartimentación atravesado. De este modo, los sistemas que incluyen conductos, tanto verticales como horizontales, que atraviesen elementos de compartimentación y cuya función no permita el uso de compuertas (extracción de humos, ventilación de vías de evacuación, entre otros), deben ser resistentes al fuego o estar adecuadamente protegidos en todo su recorrido con el mismo grado de resistencia al fuego que los elementos atravesados.En el caso de patinillos, estos se pueden considerar como suficientemente estancos (y por tanto a cuyas bajantes no les sería exigible la clasificación de reacción al fuego) si estos están delimitados por un cerramiento que, al menos, tenga la resistencia al fuego exigida a los elementos (sectores) que atraviesa, incluso en los puntos en los que dicho cerramiento es atravesado por instalaciones cuya sección de paso exceda de 50 cm2, y cuyos registros, caso de existir, tengan al menos el 50 % de dicha resistencia al fuego.Respecto a los registros resistentes al fuego que puedan existir en patinillos o conductos de instalaciones, no es obligatorio que estos dispongan de un sistema de cierre automático, dado que estos deben permanecer siempre cerrados y su uso se limita únicamente a tareas de mantenimiento.</t>
  </si>
  <si>
    <t>Clases de reacción al fuego de los elementos constructivos Tabla 2.1.4</t>
  </si>
  <si>
    <r>
      <rPr>
        <sz val="11"/>
        <color theme="1"/>
        <rFont val="Calibri"/>
        <family val="2"/>
      </rPr>
      <t xml:space="preserve">Revestimientos </t>
    </r>
    <r>
      <rPr>
        <b/>
        <sz val="5"/>
        <color rgb="FF000000"/>
        <rFont val="Calibri"/>
        <family val="2"/>
      </rPr>
      <t>(1)</t>
    </r>
  </si>
  <si>
    <r>
      <rPr>
        <sz val="11"/>
        <color theme="1"/>
        <rFont val="Calibri"/>
        <family val="2"/>
      </rPr>
      <t xml:space="preserve">De techos y paredes </t>
    </r>
    <r>
      <rPr>
        <b/>
        <sz val="5"/>
        <color rgb="FF000000"/>
        <rFont val="Calibri"/>
        <family val="2"/>
      </rPr>
      <t>(2) (3) (7)</t>
    </r>
  </si>
  <si>
    <r>
      <rPr>
        <sz val="11"/>
        <color theme="1"/>
        <rFont val="Calibri"/>
        <family val="2"/>
      </rPr>
      <t xml:space="preserve">De suelos </t>
    </r>
    <r>
      <rPr>
        <b/>
        <sz val="5"/>
        <color rgb="FF000000"/>
        <rFont val="Calibri"/>
        <family val="2"/>
      </rPr>
      <t>(2)</t>
    </r>
  </si>
  <si>
    <r>
      <rPr>
        <sz val="8"/>
        <color rgb="FF000000"/>
        <rFont val="Calibri"/>
        <family val="2"/>
      </rPr>
      <t xml:space="preserve">Zonas ocupables, en general </t>
    </r>
    <r>
      <rPr>
        <sz val="5"/>
        <color rgb="FF000000"/>
        <rFont val="Calibri"/>
        <family val="2"/>
      </rPr>
      <t>(4)</t>
    </r>
    <r>
      <rPr>
        <sz val="8"/>
        <color rgb="FF000000"/>
        <rFont val="Calibri"/>
        <family val="2"/>
      </rPr>
      <t>.</t>
    </r>
  </si>
  <si>
    <r>
      <rPr>
        <sz val="11"/>
        <color theme="1"/>
        <rFont val="Calibri"/>
        <family val="2"/>
      </rPr>
      <t>C</t>
    </r>
    <r>
      <rPr>
        <sz val="6"/>
        <color rgb="FF000000"/>
        <rFont val="Calibri"/>
        <family val="2"/>
      </rPr>
      <t>FL</t>
    </r>
    <r>
      <rPr>
        <sz val="8"/>
        <color rgb="FF000000"/>
        <rFont val="Calibri"/>
        <family val="2"/>
      </rPr>
      <t>-s1</t>
    </r>
  </si>
  <si>
    <t>Pasillos y escaleras protegidos.</t>
  </si>
  <si>
    <t>B-s1,d0</t>
  </si>
  <si>
    <r>
      <rPr>
        <sz val="11"/>
        <color theme="1"/>
        <rFont val="Calibri"/>
        <family val="2"/>
      </rPr>
      <t>C</t>
    </r>
    <r>
      <rPr>
        <sz val="6"/>
        <color rgb="FF000000"/>
        <rFont val="Calibri"/>
        <family val="2"/>
      </rPr>
      <t>FL</t>
    </r>
    <r>
      <rPr>
        <sz val="8"/>
        <color rgb="FF000000"/>
        <rFont val="Calibri"/>
        <family val="2"/>
      </rPr>
      <t>-s1</t>
    </r>
  </si>
  <si>
    <r>
      <rPr>
        <sz val="11"/>
        <color theme="1"/>
        <rFont val="Calibri"/>
        <family val="2"/>
      </rPr>
      <t xml:space="preserve">Aparcamientos y sectores de nivel de riesgo  intrínseco alto </t>
    </r>
    <r>
      <rPr>
        <sz val="5"/>
        <color rgb="FF000000"/>
        <rFont val="Calibri"/>
        <family val="2"/>
      </rPr>
      <t>(5)</t>
    </r>
    <r>
      <rPr>
        <sz val="8"/>
        <color rgb="FF000000"/>
        <rFont val="Calibri"/>
        <family val="2"/>
      </rPr>
      <t>.</t>
    </r>
  </si>
  <si>
    <r>
      <rPr>
        <sz val="11"/>
        <color theme="1"/>
        <rFont val="Calibri"/>
        <family val="2"/>
      </rPr>
      <t>B</t>
    </r>
    <r>
      <rPr>
        <sz val="6"/>
        <color rgb="FF000000"/>
        <rFont val="Calibri"/>
        <family val="2"/>
      </rPr>
      <t>FL</t>
    </r>
    <r>
      <rPr>
        <sz val="8"/>
        <color rgb="FF000000"/>
        <rFont val="Calibri"/>
        <family val="2"/>
      </rPr>
      <t>-s1</t>
    </r>
  </si>
  <si>
    <t>Espacios ocultos  no estancos, tales  como patinillos, falsos  techos y suelos elevados, entre  otros,  o que siendo estancos, contengan instalaciones susceptibles de iniciar o de propagar un incendio.</t>
  </si>
  <si>
    <t>B-s3,d0</t>
  </si>
  <si>
    <r>
      <rPr>
        <sz val="11"/>
        <color theme="1"/>
        <rFont val="Calibri"/>
        <family val="2"/>
      </rPr>
      <t>B</t>
    </r>
    <r>
      <rPr>
        <sz val="6"/>
        <color rgb="FF000000"/>
        <rFont val="Calibri"/>
        <family val="2"/>
      </rPr>
      <t>FL</t>
    </r>
    <r>
      <rPr>
        <sz val="8"/>
        <color rgb="FF000000"/>
        <rFont val="Calibri"/>
        <family val="2"/>
      </rPr>
      <t xml:space="preserve">-s2 </t>
    </r>
    <r>
      <rPr>
        <sz val="5"/>
        <color rgb="FF000000"/>
        <rFont val="Calibri"/>
        <family val="2"/>
      </rPr>
      <t>(6)</t>
    </r>
  </si>
  <si>
    <t>Nota 1:</t>
  </si>
  <si>
    <t>Siempre que superen el 5 % de las superficies totales del conjunto de las paredes, del conjunto de los techos o del conjunto de los suelos del recinto considerado.</t>
  </si>
  <si>
    <t>Nota 2:</t>
  </si>
  <si>
    <t>Incluye las tuberías y conductos que transcurren por las zonas que se indican sin recubrimiento resistente al fuego. Cuando se trate de tuberías con aislamiento térmico lineal, la clase de reacción al fuego será la que se indica, pero incorporando el subíndice L.</t>
  </si>
  <si>
    <t xml:space="preserve">Nota 3: </t>
  </si>
  <si>
    <t>Incluye a aquellos materiales que constituyan una capa contenida en el interior del techo o pared y que no esté protegida por una capa que sea EI 30 como mínimo. (Esto aplica a los elementos multicapa que se conforman en la propia obra superponiendo un material, o capa, a otro. Para el caso de los productos de construcción multicapa que se ensayan y fabrican como tales, también les aplica el mismo requisito, con la consideración de que dichos productos ya disponen de la clasificación de su reacción al fuego como producto integrado, por lo que será esta clasificación la que hay que tener en cuenta).</t>
  </si>
  <si>
    <t>Nota 4:</t>
  </si>
  <si>
    <t>Incluye, tanto las de permanencia de personas, como las de circulación que no sean protegidas.</t>
  </si>
  <si>
    <t>Nota 5:</t>
  </si>
  <si>
    <t>Notar que el artículo 4 del reglamento, «Compatibilidad reglamentaria», dispone que, para aparcamientos, a partir de una cierta superficie se aplicarán los requisitos técnicos del CTE DB-SI.</t>
  </si>
  <si>
    <t xml:space="preserve">Nota 6: </t>
  </si>
  <si>
    <t>Se refiere a la parte inferior de la cavidad. Por ejemplo, en la cámara de los falsos techos se refiere al material situado en la cara superior de la membrana. En espacios con clara configuración vertical (por ejemplo, patinillos) así como cuando el falso techo esté constituido por una celosía, retícula o entramado abierto, con una función acústica o decorativa, o similar, esta condición no es aplicable.</t>
  </si>
  <si>
    <t>Nota 7:</t>
  </si>
  <si>
    <t>A los lucernarios en general y a los aireadores de extracción natural de humo y calor que se instalen en las cubiertas, se les aplicarán los mismos requisitos que a los techos y paredes. No obstante, los lucernarios de grandes dimensiones en cubierta serán siempre de clase B-s1,d0 o más favorable. A los efectos de lo dispuesto aquí, se entenderán como lucernarios a aquellos elementos aislados o integrados en la cubierta, formados por materiales transparentes o traslúcidos que permiten la entrada de luz en el edificio. Se considerarán lucernarios de grandes dimensiones a aquellos lucernarios que tengan más de 10 metros de longitud, o bien, cuando haya varios lucernarios agrupados que tengan una separación entre ellos inferior a 2 metros y ocupen más de 10 metros de longitud.</t>
  </si>
  <si>
    <t>Los productos situados en el interior de falsos techos o suelos elevados, tanto los utilizados para aislamiento térmico y para acondicionamiento acústico como los que constituyan o revistan conductos de aire acondicionado o de ventilación, o similar, deben ser de clase B-s3,d0 o más favorable.Para los productos incluidos en paredes y cerramientos que constituyan una capa contenida en un suelo, pared o techo, se aplicará lo dispuesto en la nota 3 de la tabla anterior.</t>
  </si>
  <si>
    <t>Los cables situados en el interior de falsos techos o suelos elevados serán, al menos, de clase Cca-s1b,d1,a1. En el caso de galerías subterráneas, los cables situados en ellas también deberán cumplir con estas prestaciones, salvo que dichas galerías estén compartimentadas.El resto de cables deberán cumplir con las prestaciones que para ellos se establezca en la reglamentación específica que les sea de aplicación.</t>
  </si>
  <si>
    <t>Los requisitos de reacción al fuego de otros componentes de las instalaciones eléctricas (sistemas de conducción de cables tales como tubos, bandejas, canales protectoras o conductos cerrados de sección no circular) se regulan en su reglamentación específica.</t>
  </si>
  <si>
    <t>Resistencia al fuego de los elementos separadores con otros establecimientos 2.2.1</t>
  </si>
  <si>
    <t>Resitencia</t>
  </si>
  <si>
    <t>REI 240</t>
  </si>
  <si>
    <t>Distancia</t>
  </si>
  <si>
    <t>0 &lt; D ≤  3</t>
  </si>
  <si>
    <t>Tablas de imágenes</t>
  </si>
  <si>
    <t>Aquí va todo lo subrayado</t>
  </si>
  <si>
    <t>Las instalaciones de los servicios eléctricos (incluyendo generación propia, distribución, toma, cesión y consumo de energía eléctrica), las instalaciones de energía térmica procedente de combustibles sólidos, líquidos o gaseosos (incluyendo almacenamiento y distribución del combustible, aparatos o equipos de consumo y acondicionamiento térmico), las instalaciones frigoríficas, las instalaciones de empleo de energía mecánica (incluyendo generación, almacenamiento, distribución y aparatos o equipos de consumo de aire comprimido) y las instalaciones de movimiento de materiales, manutención y elevadores de los establecimientos industriales cumplirán los requisitos establecidos por los reglamentos vigentes que específicamente las afectan.</t>
  </si>
  <si>
    <t>En el caso de que los cables eléctricos alimenten a equipos o circuitos de servicios no autónomos, que deban permanecer en funcionamiento durante un incendio, estos deberán estar protegidos para mantener la corriente eléctrica durante, al menos, el tiempo para el que esté previsto que deba funcionar el equipo. Esta protección se puede conseguir mediante diferentes soluciones técnicas, tales como el uso de conductos o elementos constructivos resistentes al fuego, o bien, mediante el uso de cables con resistencia intrínseca frente al fuego.Para este último caso (cables no protegidos que deban tener resistencia intrínseca frente al fuego), se pueden utilizar cables ensayados conforme a la norma UNE-EN IEC 60331-1 o UNE-EN 50200, tomando como referencia aquellos que sean de, al menos, clase P90 o PH90, o bien, de otra clase en el caso de que se justifique que se les requiere un tiempo de funcionamiento distinto, y salvo que la legislación específica indique otra cosa.Se deberá prestar especial atención a las condiciones y sistemas de instalación a emplear, para que en caso de incendio y durante el tiempo que el cable deba asegurar la continuidad del suministro, ofrezca un soporte fiable y seguro.</t>
  </si>
  <si>
    <t>Reacción al fuego en fachadas</t>
  </si>
  <si>
    <t>1.5 </t>
  </si>
  <si>
    <t>Altura Fachada</t>
  </si>
  <si>
    <t>Reacción</t>
  </si>
  <si>
    <t>La clase de reacción al fuego de los sistemas constructivos de fachada que  ocupen más del 10 %  sera la definida en la tabla para estas alturas de fachada</t>
  </si>
  <si>
    <t>&lt;=10</t>
  </si>
  <si>
    <t xml:space="preserve">D-s3,d0 </t>
  </si>
  <si>
    <t>Dicha clasificación debe considerar la condición de uso final del sistema constructivo incluyendo aquellos materiales que constituyan capas contenidas en el interior de la solución de fachada y que no estén protegidas por una capa que sea EI 30 como mínimo</t>
  </si>
  <si>
    <t>&lt;=18</t>
  </si>
  <si>
    <t>C-s3,d0</t>
  </si>
  <si>
    <t>&gt;18</t>
  </si>
  <si>
    <t>Debe limitarse el desarrollo vertical de las cámaras ventiladas de fachada en continuidad con los forjados resistentes al fuego que separan sectores de incendio. La inclusión de barreras E 30 se puede considerar un procedimiento válido para limitar dicho desarrollo vertical.</t>
  </si>
  <si>
    <t>Camaras ventiladas</t>
  </si>
  <si>
    <t>En aquellas fachadas de altura igual o inferior a 18 metros cuyo arranque inferior sea accesible al público desde la rasante exterior o desde una cubierta, la clase de reacción al fuego, tanto de los sistemas constructivos mencionados en el apartado 1.5 como de aquellos situados en el interior de cámaras ventiladas en su caso, debe ser al menos B-s3,d0 hasta una altura de 3,5 metros como mínimo.</t>
  </si>
  <si>
    <t>&lt;=28</t>
  </si>
  <si>
    <t>&gt;28</t>
  </si>
  <si>
    <t>A2-s3,d0</t>
  </si>
  <si>
    <t>Longitud del recorrido de evacución según el número de salidas y el nivel de riesgo intrínseco del sector de incendio</t>
  </si>
  <si>
    <t>Una salida</t>
  </si>
  <si>
    <t>Dos o más salidas alternativas</t>
  </si>
  <si>
    <t>Nota 4</t>
  </si>
  <si>
    <t xml:space="preserve">&lt;= Distancia a la salida </t>
  </si>
  <si>
    <t>≤ Distancia del recorrido sin alternativa</t>
  </si>
  <si>
    <t>≤ Distancia a la salida más próxima</t>
  </si>
  <si>
    <t>Extincion Auto</t>
  </si>
  <si>
    <t>Nota 4 a: En sectores de incendio protegidos con un sistema fijo de extinción automática basada en agua, u otros tipos de sistemas fijos de extinción automática que sean compatibles para poder funcionar durante la fase de evacuación, los recorridos podrán incrementarse un 25 %.</t>
  </si>
  <si>
    <t>Control Humos</t>
  </si>
  <si>
    <t>2 salidas + extincion</t>
  </si>
  <si>
    <t>Max 90m</t>
  </si>
  <si>
    <t>Nota 4 b: En sectores de incendio dotados con un sistema para el control de humos y de calor según el apartado 8.3 del anexo III, diseñado con los objetivos de protección de los medios de evacuación y de facilitación de las operaciones de lucha contra incendios, los recorridos podrán incrementarse un 25 %</t>
  </si>
  <si>
    <t>Nota 4 c: En sectores situados en la planta de salida del edificio, con dos o más salidas directas al exterior, con altura de techo igual o mayor a 8 metros y protegidos por un sistema fijo de extinción automática compatible para poder funcionar durante la fase de evacuación: Los recorridos podrán incrementarse hasta un 100 % respecto a los valores indicados en la tabla, sin que puedan superar un máximo de 90 metros. En el caso de que el sector tenga varias plantas o entreplantas, solo se podrá aplicar lo anterior a la evacuación procedente de orígenes de evacuación situados en la planta de salida del edificio</t>
  </si>
  <si>
    <t>Para sectores clasificados como riesgo bajo nivel 1 en donde se justifique que los materiales existentes (incluyendo tanto el contenido almacenado como los productos de construcción y los revestimientos) sean incombustibles o de muy baja combustibilidad y emisión de humo (de clase A1 o A2, o de un comportamiento equivalente) en un 95 % de masa, podrá aumentarse la distancia máxima de los recorridos de evacuación hasta ser esta de 100 metros en casos de una salida; o bien, de hasta 150 metros hasta la salida más próxima en casos de dos o más salidas y con una distancia del recorrido sin alternativa de máximo 100 metros. (Cuando aplique esta nota no se podrán aplicar los coeficientes de la nota 4).</t>
  </si>
  <si>
    <t>&gt; Superficie</t>
  </si>
  <si>
    <t>&gt; Ocupacion</t>
  </si>
  <si>
    <t>Salidas</t>
  </si>
  <si>
    <t>Si el número de ocupantes del establecimiento industrial (P, calculado según el apartado 2) es superior a 50 personas, deberá contar con una salida independiente del resto del edificio</t>
  </si>
  <si>
    <t>3.1.3 Otras consideraciones:</t>
  </si>
  <si>
    <t>a) La salida de planta desde un sector a otro sector de incendio alternativo no precisará de vestíbulo de independencia siempre y cuando el sector de origen tenga una ocupación (P) de hasta 25 personas (en su caso, incluyendo también a aquellos ocupantes provenientes de otras zonas que deban utilizar el paso por dicho sector para alcanzar la salida), o bien, cuando la altura libre de planta en ambos sectores sea igual o mayor de 5 metros.</t>
  </si>
  <si>
    <t>b) En las zonas de los sectores cuya actividad impide la presencia de personal (por ejemplo, en almacenes operados automáticamente), los requisitos de evacuación serán de aplicación solamente a las zonas donde pueda existir presencia habitual de personas. Esta particularidad deberá estar justificada</t>
  </si>
  <si>
    <t>c) Los requisitos de esta sección no son aplicables a las condiciones de evacuación de zonas de uso exclusivo por personal especializado en mantenimiento, reparaciones, controles o actividades similares, cuyo acceso y evacuación son particulares, como pueden ser un foso de ascensor, una galería de instalaciones, una cubierta de uso restringido, entre otros, ni a los elementos destinados a dicho personal, tales como escalas o accesos. La regulación de las condiciones de evacuación de dichas zonas y elementos corresponde a la reglamentación de seguridad en el trabajo o bien a la específica de las instalaciones y equipos de que se trate.</t>
  </si>
  <si>
    <t>Limites Doble casuistica retroalimentada</t>
  </si>
  <si>
    <t>Cual es tu max reccorrido de evacuacion</t>
  </si>
  <si>
    <t>Y salidas</t>
  </si>
  <si>
    <t>y interfaz</t>
  </si>
  <si>
    <t>Si no cumple ofrecer factores</t>
  </si>
  <si>
    <t>SI no cumple pop up con la nota 4</t>
  </si>
  <si>
    <t>Elemento</t>
  </si>
  <si>
    <t>Anchura</t>
  </si>
  <si>
    <t>Altura</t>
  </si>
  <si>
    <t>Ocupacion</t>
  </si>
  <si>
    <t>Protegidas</t>
  </si>
  <si>
    <t>Intevalo (m)</t>
  </si>
  <si>
    <t>Pasillo</t>
  </si>
  <si>
    <t>NO APLICA</t>
  </si>
  <si>
    <t>Puerta</t>
  </si>
  <si>
    <t>Escaleras Descendentes</t>
  </si>
  <si>
    <t>Escaleras Ascendentes</t>
  </si>
  <si>
    <t>Ventilación</t>
  </si>
  <si>
    <t>Protección de escaleras</t>
  </si>
  <si>
    <t>Las escaleras que se prevean para evacuación descendente serán protegidas cuando superen la altura de evacuación de 14 metros</t>
  </si>
  <si>
    <t>Las separaciones de 5 metros de anchura citadas en los apartados 1.5 y 1.6 de la sección 1, deben poder servir de caminos de emergencia para la evacuación.Además, en configuraciones tipo D que tengan zonas cubiertas, dichas zonas deberán cumplir también con los requisitos de evacuación que se piden a los edificios en el apartado 3 de la presente sección que les sean aplicables, debiendo disponer de longitudes equivalentes a las de los recorridos de evacuación de la tabla 2.3.1, aplicándose estas desde cualquier punto interior cubierto (origen de evacuación) hasta el lugar de salida de la zona cubierta</t>
  </si>
  <si>
    <t>Las escaleras para evacuación ascendente serán protegidas cuando salven alturas de evacuación superiores a 1,50 metros y estén previstas para más de 25 personas, o bien, salven alturas de evacuación superiores a 2,8 metros</t>
  </si>
  <si>
    <t>Protección de pasillos</t>
  </si>
  <si>
    <t>a) La ventilación para la protección frente al humo de los pasillos protegidos, cuando esta sea prevista mediante sistemas de presión diferencial, incluirá puntos de impulsión de aire al menos cada 10 metros de longitud de pasillo.</t>
  </si>
  <si>
    <t>b) Excepcionalmente, los pasillos protegidos cuyos accesos sean siempre desde plantas superiores, podrán disponer de un número de accesos superior a dos.</t>
  </si>
  <si>
    <t>Altura mínima libre de gálibo</t>
  </si>
  <si>
    <t>Radio interior carril Rodadura</t>
  </si>
  <si>
    <t>Radio Exterior Carril Rodadura</t>
  </si>
  <si>
    <t>Anchura libre circulación</t>
  </si>
  <si>
    <t>Si conviven usos indutriales y no industriales</t>
  </si>
  <si>
    <t>Y la mayor parte de la superficie es no industrial, se rigen por codigo tecnico</t>
  </si>
  <si>
    <t xml:space="preserve">C </t>
  </si>
  <si>
    <t>Edificios industriales</t>
  </si>
  <si>
    <t>Variables</t>
  </si>
  <si>
    <t>Altura evacuación descendente</t>
  </si>
  <si>
    <t>Anchura mínima libre</t>
  </si>
  <si>
    <t>Altura libre</t>
  </si>
  <si>
    <t>Separación máxima hasta la fachada</t>
  </si>
  <si>
    <t>Distancia acceso - zona</t>
  </si>
  <si>
    <t>Pendiente maxima %</t>
  </si>
  <si>
    <t>Resistencia punzonamientos sobre 20 cm  Ø</t>
  </si>
  <si>
    <t>Norma UNE_EN 124 en caso de irregularidad</t>
  </si>
  <si>
    <t>Distancia a columna seca</t>
  </si>
  <si>
    <t>Maniobra salida vehiculo radio</t>
  </si>
  <si>
    <t>Maniobra salida vehiculo ancho</t>
  </si>
  <si>
    <t>Maniobra salida vehiculo alto</t>
  </si>
  <si>
    <t>Fachadas</t>
  </si>
  <si>
    <t>Dimensiones fachada</t>
  </si>
  <si>
    <t>Fachada accesible</t>
  </si>
  <si>
    <t>Altua alfeizar maximo</t>
  </si>
  <si>
    <t>Horizontal</t>
  </si>
  <si>
    <t>Vertical</t>
  </si>
  <si>
    <t>Distancia entre ejes de huecos maxima</t>
  </si>
  <si>
    <t>1 acceso peaotanl altura</t>
  </si>
  <si>
    <t>Elementos de seguridad si altura menor</t>
  </si>
  <si>
    <t>Distancia entre paso peatonal y via de acceso</t>
  </si>
  <si>
    <t>Anchura minima de paso</t>
  </si>
  <si>
    <t xml:space="preserve">2.5 En los casos de establecimientos industriales donde, por su actividad específica </t>
  </si>
  <si>
    <t xml:space="preserve">o por necesidades constructivas, no sea posible la existencia de fachadas accesibles </t>
  </si>
  <si>
    <r>
      <rPr>
        <sz val="11"/>
        <color theme="1"/>
        <rFont val="Calibri"/>
        <family val="2"/>
      </rPr>
      <t xml:space="preserve">En el caso de </t>
    </r>
    <r>
      <rPr>
        <b/>
        <sz val="11"/>
        <color theme="1"/>
        <rFont val="Calibri"/>
        <family val="2"/>
      </rPr>
      <t>edificios pequeños</t>
    </r>
    <r>
      <rPr>
        <sz val="11"/>
        <color theme="1"/>
        <rFont val="Calibri"/>
        <family val="2"/>
      </rPr>
      <t xml:space="preserve"> (inferiores a 500 m2</t>
    </r>
  </si>
  <si>
    <t xml:space="preserve">que cumplan total o parcialmente las condiciones del apartado 2.1 y 2.2, se deberán </t>
  </si>
  <si>
    <t xml:space="preserve"> de superficie ocupada en </t>
  </si>
  <si>
    <t xml:space="preserve">aplicar soluciones análogas que consigan los mismos objetivos, tales como la existencia </t>
  </si>
  <si>
    <t xml:space="preserve">planta) o con baja densidad de carga de fuego (sectores de riesgo bajo), se deberán </t>
  </si>
  <si>
    <t xml:space="preserve">de vías compartimentadas con elementos EI 120 y puertas EI2 60-C5 que permitan el </t>
  </si>
  <si>
    <t xml:space="preserve">evaluar las características de estos y las necesidades específicas de intervención en </t>
  </si>
  <si>
    <t xml:space="preserve">acceso al personal del SEIS y que dispongan de protección frente al humo mediante </t>
  </si>
  <si>
    <t xml:space="preserve">situaciones de incendio, y en su caso, se podrá disminuir el porcentaje de longitud de </t>
  </si>
  <si>
    <t xml:space="preserve">alguna de las opciones que se establecen en el CTE DB-SI para la protección de las </t>
  </si>
  <si>
    <t>fachada accesible. Esta particularidad deberá estar justificada</t>
  </si>
  <si>
    <t xml:space="preserve">escaleras y pasillos protegidos, o bien, mediante un sistema para el control de humos y </t>
  </si>
  <si>
    <t>de calor. Esta particularidad deberá estar justificada.</t>
  </si>
  <si>
    <t xml:space="preserve">2.6 En el caso de áreas de incendio en espacios abiertos (configuración tipo D), las </t>
  </si>
  <si>
    <r>
      <rPr>
        <sz val="11"/>
        <color theme="1"/>
        <rFont val="Calibri"/>
        <family val="2"/>
      </rPr>
      <t xml:space="preserve">En el caso de </t>
    </r>
    <r>
      <rPr>
        <b/>
        <sz val="11"/>
        <color theme="1"/>
        <rFont val="Calibri"/>
        <family val="2"/>
      </rPr>
      <t>edificios especialmente grandes</t>
    </r>
    <r>
      <rPr>
        <sz val="11"/>
        <color theme="1"/>
        <rFont val="Calibri"/>
        <family val="2"/>
      </rPr>
      <t xml:space="preserve"> (superiores a 10.000 m2 de superficie </t>
    </r>
  </si>
  <si>
    <t xml:space="preserve">características y distribución de dichas áreas y sus accesos deben diseñarse con el </t>
  </si>
  <si>
    <t xml:space="preserve">ocupada en planta), o con diseños complejos (por su forma, distribución u otros </t>
  </si>
  <si>
    <t xml:space="preserve">objetivo de permitir una intervención ágil y segura del personal del SEIS en la totalidad </t>
  </si>
  <si>
    <t xml:space="preserve">aspectos), o con grandes zonas con muy alta densidad de carga de fuego (tales como </t>
  </si>
  <si>
    <t xml:space="preserve">de las mismas. Asimismo, las separaciones de 5 metros de anchura citadas en los </t>
  </si>
  <si>
    <t>sectores de riesgo alto nivel 8 de superficie superior a 2.000 m2</t>
  </si>
  <si>
    <t xml:space="preserve">apartados 1.5 y 1.6 de la sección 1, deben poder servir de caminos de emergencia para </t>
  </si>
  <si>
    <t xml:space="preserve">), se deberán evaluar las </t>
  </si>
  <si>
    <t>el acceso e intervención del personal del SEIS.</t>
  </si>
  <si>
    <t xml:space="preserve">características de estos y las necesidades específicas de intervención en situaciones de </t>
  </si>
  <si>
    <t xml:space="preserve">incendio, y si fuera necesario, aumentar el número de accesos, o el porcentaje de </t>
  </si>
  <si>
    <t xml:space="preserve">longitud de fachada accesible o tomar otras medidas adicionales para lograr el objetivo </t>
  </si>
  <si>
    <t>citado anteriormente</t>
  </si>
  <si>
    <t>Resistencia al fuego mínima de los elementos estructurasles principales con función portante Tabla 2.5.1</t>
  </si>
  <si>
    <t>R 120</t>
  </si>
  <si>
    <t>R120</t>
  </si>
  <si>
    <t>R 180</t>
  </si>
  <si>
    <t>R 30</t>
  </si>
  <si>
    <t>Para la estrutura pricipal de cubiertas ligeras no previstas para ser utilizadas en la evacuación de los ocupantes Nota 1.3.1 Tabla 2.5.2</t>
  </si>
  <si>
    <t>Nota:</t>
  </si>
  <si>
    <t>Para poder aplicar esta tabla en edificios AH, la estructura de cubierta considerada debe ser independiente respecto de los otros establecimientos.</t>
  </si>
  <si>
    <t>1.3.3</t>
  </si>
  <si>
    <t>En edificios de establecimientos industriales de una sola planta y que constituyan un solo sector de incendios, o con zonas administrativas en más de una planta pero compartimentadas del uso industrial según su reglamentación específica y con estructura independiente, situados en edificios de tipo C separados al menos 10 metros de otros establecimientos así como de límites de parcelas con posibilidad de edificar en ellas y libres de mercancías combustibles o elementos intermedios susceptibles de propagar el incendio, y protegidos por un sistema fijo de extinción automática y un sistema para el control de humos y de calor según el apartado 8.3 del anexo III, no será necesario justificar la resistencia al fuego de la estructura.En el caso de existir dos establecimientos colindantes, estos 10 metros pueden estar repartidos entre ambos siempre que haya un acuerdo vinculante y permanente en el tiempo entre ellos para mantener dicho espacio libre de edificaciones y de mercancías combustibles. Por otro lado, en los 10 metros puede existir vegetación, vehículos aparcados y otros elementos puntuales siempre que no se perjudiquen los viales de aproximación y los espacios de maniobra previstos en la sección 4. Además, para determinar la distancia citada de 10 metros también se puede contabilizar el espacio de la vía pública.</t>
  </si>
  <si>
    <t xml:space="preserve">Nota 1.3.1: Para la estructura principal de las cubiertas ligeras no previstas para ser utilizadas en la evacuación de los ocupantes, siempre que se garantice la evacuación del establecimiento y se justifique que su fallo no puede ocasionar daños graves a los edificios o establecimientos próximos y que no se compromete la estabilidad de otras plantas inferiores o la sectorización de incendios implantada y, si el riesgo intrínseco del sector es medio o alto, disponga de un sistema para el control de humos y de calor </t>
  </si>
  <si>
    <t>Nota 1.3.2: En edificios sobre rasante de una sola planta y con cubierta ligera, cuando la superficie total del sector de incendios esté protegida por un sistema fijo de extinción automática y un sistema para el control de humos y de calor</t>
  </si>
  <si>
    <t>R 15</t>
  </si>
  <si>
    <t>SIN JUSTIFICAR</t>
  </si>
  <si>
    <t>Para edificios sobre rasante de una sola planta y con cubierta ligera nota 1.3.2 tabla 2.5.3</t>
  </si>
  <si>
    <t>1.3.4</t>
  </si>
  <si>
    <t>Cuando, de acuerdo con la tabla 2.5.2 o el apartado 1.3.3, esté permitido no justificar la resistencia al fuego, deberá señalizarse esta particularidad en los accesos del edificio para que el personal de los Servicios de Extinción de Incendios y Salvamento tengan conocimiento de ello.</t>
  </si>
  <si>
    <t>En las áreas de incendio ubicadas en espacios abiertos (configuración tipo D), en el caso de existir estructuras, estas deben ser independientes de los edificios colindantes, o bien, disponer de la resistencia al fuego suficiente de forma que, en ambos casos, se eviten potenciales colapsos que puedan arrastrar o afectar a la estructura de los edificios o a los establecimientos colindantes</t>
  </si>
  <si>
    <t>Deteccion y alarma</t>
  </si>
  <si>
    <t xml:space="preserve">Actividad </t>
  </si>
  <si>
    <t>≥ Superficie</t>
  </si>
  <si>
    <t>Necesita</t>
  </si>
  <si>
    <t>≥ Superficie Solo Manual</t>
  </si>
  <si>
    <t>≥ Superficie edificio + ocupación</t>
  </si>
  <si>
    <t>Formula combinación de sectores</t>
  </si>
  <si>
    <t>10.000 m2 + 3 pesonas x 100 m2</t>
  </si>
  <si>
    <t>Megafonia, alarma local y alarma general</t>
  </si>
  <si>
    <t>(SuperficieProducción/SuperficieNecesariaProducciónDetección) + (SuperficieAlmacenamiento/SuperficieNecesariaAlmacenamientoDetección) &gt;=1</t>
  </si>
  <si>
    <r>
      <rPr>
        <sz val="10"/>
        <color rgb="FF000000"/>
        <rFont val="Times New Roman"/>
        <family val="1"/>
      </rPr>
      <t xml:space="preserve">2. Sistemas de abastecimiento de agua contra  incendios.
2.1 Se instalará un sistema de abastecimiento de agua contra  incendios en los siguientes casos:
</t>
    </r>
    <r>
      <rPr>
        <b/>
        <sz val="10"/>
        <color rgb="FF000000"/>
        <rFont val="Times New Roman"/>
        <family val="1"/>
      </rPr>
      <t xml:space="preserve">
a)  Cuando sea  necesario para   dar  servicio,  en  las  condiciones de  caudal, presión y reserva  calculados, a  uno  o  varios  sistemas de  protección contra   incendios, tales   como sistemas de  bocas de  incendio  equipadas (BIE), hidrantes, rociadores automáticos, agua pulverizada, espuma física, entre  otros.
</t>
    </r>
    <r>
      <rPr>
        <sz val="10"/>
        <color rgb="FF000000"/>
        <rFont val="Times New Roman"/>
        <family val="1"/>
      </rPr>
      <t>b) O bien,  si lo exigen  las  disposiciones vigentes que  regulan actividades industriales sectoriales o específicas.
2.2  Los  sistemas de  abastecimiento de  agua contra  incendios deberán cumplir con  las características indicadas en  el anexo I del RIPCI, junto con  las  consideraciones específicas establecidas en el presente reglamento.
2.3  Cuando en  un  establecimiento industrial  coexistan varios  sistemas de  protección contra  incendios, el caudal (Q),  la presión (P)  y la reserva de  agua (R) se dimensionarán atendiendo a los siguientes criterios:
a)  El caudal, presión y la  reserva de  agua deben ser  suficientes para  que  funcionen todos   los  sistemas de  protección  que   deban  actuar  simultáneamente ante   un  incendio localizado. Esto  implica  que,  en  el caso de  que  los  sistemas de  protección que  coexisten vayan  a  necesitar funcionar  al mismo  tiempo  para  actuar sobre un  incendio  en  una  única localización, el sistema de abastecimiento debe calcularse para  que  dichos  sistemas puedan funcionar  simultáneamente.
Por ejemplo,  si en un mismo  sector existen rociadores y BIE para  proteger dicho lugar, el sistema de  abastecimiento (caudal, presión y reserva de  agua) debe estar calculado para que ambos funcionen simultáneamente.
Como   casos  particulares, se  admitirán    los   siguientes  dimensionamientos  en   las siguientes situaciones de simultaneidad:
i. En los casos de  simultaneidad de  BIE con  rociadores, o BIE con  hidrantes, o BIE con cualquier otro sistema que  use  el abastecimiento de agua, para  el cálculo del abastecimiento se admitirá   considerar  únicamente  la  BIE  más   desfavorable,  en   vez   de   las   dos   más desfavorables que  se establece en  la regla  general (ejemplo:  Q</t>
    </r>
    <r>
      <rPr>
        <sz val="7"/>
        <color rgb="FF000000"/>
        <rFont val="Times New Roman"/>
        <family val="1"/>
      </rPr>
      <t xml:space="preserve">total  </t>
    </r>
    <r>
      <rPr>
        <sz val="10"/>
        <color rgb="FF000000"/>
        <rFont val="Times New Roman"/>
        <family val="1"/>
      </rPr>
      <t>= Q</t>
    </r>
    <r>
      <rPr>
        <sz val="7"/>
        <color rgb="FF000000"/>
        <rFont val="Times New Roman"/>
        <family val="1"/>
      </rPr>
      <t xml:space="preserve">rociadores </t>
    </r>
    <r>
      <rPr>
        <sz val="10"/>
        <color rgb="FF000000"/>
        <rFont val="Times New Roman"/>
        <family val="1"/>
      </rPr>
      <t>+ Q</t>
    </r>
    <r>
      <rPr>
        <sz val="7"/>
        <color rgb="FF000000"/>
        <rFont val="Times New Roman"/>
        <family val="1"/>
      </rPr>
      <t>BIE más desfavorable</t>
    </r>
    <r>
      <rPr>
        <sz val="10"/>
        <color rgb="FF000000"/>
        <rFont val="Times New Roman"/>
        <family val="1"/>
      </rPr>
      <t>; R</t>
    </r>
    <r>
      <rPr>
        <sz val="7"/>
        <color rgb="FF000000"/>
        <rFont val="Times New Roman"/>
        <family val="1"/>
      </rPr>
      <t xml:space="preserve">total  </t>
    </r>
    <r>
      <rPr>
        <sz val="10"/>
        <color rgb="FF000000"/>
        <rFont val="Times New Roman"/>
        <family val="1"/>
      </rPr>
      <t>= R</t>
    </r>
    <r>
      <rPr>
        <sz val="7"/>
        <color rgb="FF000000"/>
        <rFont val="Times New Roman"/>
        <family val="1"/>
      </rPr>
      <t xml:space="preserve">rociadores </t>
    </r>
    <r>
      <rPr>
        <sz val="10"/>
        <color rgb="FF000000"/>
        <rFont val="Times New Roman"/>
        <family val="1"/>
      </rPr>
      <t>+ R</t>
    </r>
    <r>
      <rPr>
        <sz val="7"/>
        <color rgb="FF000000"/>
        <rFont val="Times New Roman"/>
        <family val="1"/>
      </rPr>
      <t>BIE más  desfavorable</t>
    </r>
    <r>
      <rPr>
        <sz val="10"/>
        <color rgb="FF000000"/>
        <rFont val="Times New Roman"/>
        <family val="1"/>
      </rPr>
      <t>). En todo caso, el valor calculado de Q</t>
    </r>
    <r>
      <rPr>
        <sz val="7"/>
        <color rgb="FF000000"/>
        <rFont val="Times New Roman"/>
        <family val="1"/>
      </rPr>
      <t xml:space="preserve">total  </t>
    </r>
    <r>
      <rPr>
        <sz val="10"/>
        <color rgb="FF000000"/>
        <rFont val="Times New Roman"/>
        <family val="1"/>
      </rPr>
      <t>y R</t>
    </r>
    <r>
      <rPr>
        <sz val="7"/>
        <color rgb="FF000000"/>
        <rFont val="Times New Roman"/>
        <family val="1"/>
      </rPr>
      <t xml:space="preserve">total  </t>
    </r>
    <r>
      <rPr>
        <sz val="10"/>
        <color rgb="FF000000"/>
        <rFont val="Times New Roman"/>
        <family val="1"/>
      </rPr>
      <t>deberá ser  igual o mayor  al que  se obtendría si estuvieran instaladas únicamente las BIE (usando la regla general).
ii. En los casos de simultaneidad de hidrantes junto con rociadores (o agua pulverizada o
espuma), así  como  en  los  casos de  hidrantes junto  con  rociadores (o agua pulverizada o espuma) y junto con BIE, el dimensionamiento del abastecimiento será suficiente si cumple, como  mínimo, los siguientes requisitos:
– Caudal del abastecimiento: Será la suma del caudal requerido para  los rociadores (o agua pulverizada o espuma), más  el 50 por ciento  del requerido para  los hidrantes (Q</t>
    </r>
    <r>
      <rPr>
        <sz val="7"/>
        <color rgb="FF000000"/>
        <rFont val="Times New Roman"/>
        <family val="1"/>
      </rPr>
      <t xml:space="preserve">total  </t>
    </r>
    <r>
      <rPr>
        <sz val="10"/>
        <color rgb="FF000000"/>
        <rFont val="Times New Roman"/>
        <family val="1"/>
      </rPr>
      <t>= Q</t>
    </r>
    <r>
      <rPr>
        <sz val="7"/>
        <color rgb="FF000000"/>
        <rFont val="Times New Roman"/>
        <family val="1"/>
      </rPr>
      <t xml:space="preserve">rociadores </t>
    </r>
    <r>
      <rPr>
        <sz val="10"/>
        <color rgb="FF000000"/>
        <rFont val="Times New Roman"/>
        <family val="1"/>
      </rPr>
      <t>+ 0,5 Q</t>
    </r>
    <r>
      <rPr>
        <sz val="7"/>
        <color rgb="FF000000"/>
        <rFont val="Times New Roman"/>
        <family val="1"/>
      </rPr>
      <t>hidrantes</t>
    </r>
    <r>
      <rPr>
        <sz val="10"/>
        <color rgb="FF000000"/>
        <rFont val="Times New Roman"/>
        <family val="1"/>
      </rPr>
      <t>). En todo caso, el valor calculado de Q</t>
    </r>
    <r>
      <rPr>
        <sz val="7"/>
        <color rgb="FF000000"/>
        <rFont val="Times New Roman"/>
        <family val="1"/>
      </rPr>
      <t xml:space="preserve">total  </t>
    </r>
    <r>
      <rPr>
        <sz val="10"/>
        <color rgb="FF000000"/>
        <rFont val="Times New Roman"/>
        <family val="1"/>
      </rPr>
      <t>deberá ser  igual o mayor que Q</t>
    </r>
    <r>
      <rPr>
        <sz val="7"/>
        <color rgb="FF000000"/>
        <rFont val="Times New Roman"/>
        <family val="1"/>
      </rPr>
      <t>hidrantes</t>
    </r>
    <r>
      <rPr>
        <sz val="10"/>
        <color rgb="FF000000"/>
        <rFont val="Times New Roman"/>
        <family val="1"/>
      </rPr>
      <t>.
– Reserva de  agua del  abastecimiento: Será la suma de  la reserva requerida para  los rociadores (o agua pulverizada o espuma), más  el 50  por  ciento  de  la requerida para  los</t>
    </r>
  </si>
  <si>
    <r>
      <rPr>
        <sz val="10"/>
        <color rgb="FF000000"/>
        <rFont val="Times New Roman"/>
        <family val="1"/>
      </rPr>
      <t>hidrantes (R</t>
    </r>
    <r>
      <rPr>
        <sz val="7"/>
        <color rgb="FF000000"/>
        <rFont val="Times New Roman"/>
        <family val="1"/>
      </rPr>
      <t xml:space="preserve">total  </t>
    </r>
    <r>
      <rPr>
        <sz val="10"/>
        <color rgb="FF000000"/>
        <rFont val="Times New Roman"/>
        <family val="1"/>
      </rPr>
      <t>= R</t>
    </r>
    <r>
      <rPr>
        <sz val="7"/>
        <color rgb="FF000000"/>
        <rFont val="Times New Roman"/>
        <family val="1"/>
      </rPr>
      <t xml:space="preserve">rociadores </t>
    </r>
    <r>
      <rPr>
        <sz val="10"/>
        <color rgb="FF000000"/>
        <rFont val="Times New Roman"/>
        <family val="1"/>
      </rPr>
      <t>+ 0,5 R</t>
    </r>
    <r>
      <rPr>
        <sz val="7"/>
        <color rgb="FF000000"/>
        <rFont val="Times New Roman"/>
        <family val="1"/>
      </rPr>
      <t>hidrantes</t>
    </r>
    <r>
      <rPr>
        <sz val="10"/>
        <color rgb="FF000000"/>
        <rFont val="Times New Roman"/>
        <family val="1"/>
      </rPr>
      <t>). En todo caso, el valor calculado de R</t>
    </r>
    <r>
      <rPr>
        <sz val="7"/>
        <color rgb="FF000000"/>
        <rFont val="Times New Roman"/>
        <family val="1"/>
      </rPr>
      <t xml:space="preserve">total  </t>
    </r>
    <r>
      <rPr>
        <sz val="10"/>
        <color rgb="FF000000"/>
        <rFont val="Times New Roman"/>
        <family val="1"/>
      </rPr>
      <t>deberá
ser  igual o mayor que R</t>
    </r>
    <r>
      <rPr>
        <sz val="7"/>
        <color rgb="FF000000"/>
        <rFont val="Times New Roman"/>
        <family val="1"/>
      </rPr>
      <t>hidrantes</t>
    </r>
    <r>
      <rPr>
        <sz val="10"/>
        <color rgb="FF000000"/>
        <rFont val="Times New Roman"/>
        <family val="1"/>
      </rPr>
      <t xml:space="preserve">.
b) Para el cálculo  del caudal, presión y reserva de  agua no es obligatorio  contemplar la coincidencia de más  de un foco de incendio  en el establecimiento, dado  que  los sistemas de protección están diseñados para  controlar  y extinguir un incendio  en una  única  localización y que este no se expanda a otras  zonas.
Por  ejemplo,  si un sector está protegido con  rociadores y otro con  agua pulverizada, el sistema de  abastecimiento se puede calcular  de  forma  que  contemple el funcionamiento de estos por  separado y de  manera no  simultánea, ya  que  ante  un  único  foco  solamente se activará uno de ellos (el que esté situado donde esté el incendio).
c) Cuando existan varias  zonas a  proteger con  varios  sistemas de  protección en  cada una,  en  general es suficiente con  calcular  el caudal, presión y reserva para  satisfacer los sistemas de  la zona  con  la demanda más  exigente, entendiendo que,  de  esta forma,  este cálculo va a ser  suficiente para  que  funcionen los sistemas de protección de cada una  de las zonas a proteger, ante  un incendio  en dichas zonas.
d)  Los   caudales  y  reservas  de   agua  calculados según  estos  criterios   tendrán  la consideración  de  valores  mínimos.   No  obstante,  voluntariamente podrán  dimensionarse caudales y reservas mayores a los determinados aquí  si así  se desea, con  el propósito de aumentar el nivel de seguridad del establecimiento o de hacer frente  a situaciones concretas más  exigentes que las indicadas aquí.
e) En el caso de  que  varios  establecimientos industriales compartan un mismo  sistema de abastecimiento para  sus  sistemas de protección contra  incendios, este deberá cumplir lo dispuesto en los párrafos anteriores y además estar diseñado para  el caso de demanda más exigente, pudiéndose considerar escenarios de  incendio  alternativos y excluyentes. Adicionalmente, deberá  garantizarse  su  correcto  mantenimiento  y  accesibilidad  en  todo momento por parte  de los titulares  de los diferentes establecimientos que lo compartan.
</t>
    </r>
  </si>
  <si>
    <t>Tabla 3.3.1</t>
  </si>
  <si>
    <t>≥ Superficie total</t>
  </si>
  <si>
    <t>3.2.3  La función  principal  de  estos hidrantes es el llenado  de  los camiones cisterna de los Servicios de Extinción de Incendios y Salvamento.Cuando se requieran hidrantes de  este tipo, estos deberán estar situados en  el exterior del edificio o espacio abierto  a proteger, a menos de 100 metros de las entradas principales o  fachadas  accesibles  de   los  citados  edificios   y  áreas,  de   forma   que   se  permita   su accesibilidad a los Servicios de Extinción de Incendios y Salvamento.</t>
  </si>
  <si>
    <t>3.2.4 Este  tipo de hidrantes deberá cumplir las condiciones siguientes:a)  A ser  posible,  en  el  caso de  hidrantes que  no  estén situados en  la  vía  pública,  la distancia entre  el  emplazamiento de  cada hidrante y el  límite  exterior  del  edificio  o  zona protegidos, medida perpendicularmente a la fachada, debe ser  al menos de 5 metros.b) La presión mínima  requerida del hidrante será de  100  kPa  (1 kg/cm2)  en  la boca  de salida. El caudal mínimo será de 500 l/min y el tiempo  de autonomía mínimo de 60 minutos. (El caudal y tiempo  de autonomía indicados corresponden al total que  debe ser  suministrado a   la  red   de   hidrantes,  independientemente  del   número  de   hidrantes  instalados).  Los hidrantes de este tipo que se instalen pueden estar conectados a la red pública de suministro de  agua, sin  necesidad de  depósito ni de  equipo  de  bombeo, cuando esta sea capaz de proporcionar la presión y el caudal requeridos.c) Para el cómputo de  la dotación que  se establece se pueden considerar los hidrantes que  se encuentran en  la  vía  pública  a  menos de  100  metros de  la  fachada accesible o entrada de los citados edificios y áreas del establecimiento.</t>
  </si>
  <si>
    <t>Hidrantes Impulsión directa</t>
  </si>
  <si>
    <t>Tabla 3.3.2</t>
  </si>
  <si>
    <t>3.3.2 La función principal de estos hidrantes es la impulsión directa de agua a las zonas a proteger por medio de mangueras o lanzas, pudiendo servir también para el llenado de camiones de los Servicios de Extinción de Incendios y Salvamento.Cuando según la tabla anterior, un sector o área requiera un sistema de hidrantes de este tipo, estos deberán estar situados en el perímetro exterior de los edificios y espaciosabiertos, debiendo la instalación proteger el perímetro de todos los edificios del establecimiento industrial, así como todas las áreas de incendio. No obstante, en el caso de que el establecimiento industrial esté formado por varios edificios o espacios abiertos independientes, separados entre ellos más de 10 metros (o bien de una distancia de, al menos, la altura de los materiales combustibles almacenados, si esta es mayor a 10 metros en espacios abiertos) libres de mercancías combustibles, estos se podrán considerar por separado a efectos de evaluar la necesidad de poner hidrantes de este tipo a cada edificio o espacio abierto.</t>
  </si>
  <si>
    <t>3.3.3 El número de hidrantes de este tipo a instalar y sus características se determinarán según las condiciones siguientes:a) La zona protegida por cada uno de ellos es la cubierta por un radio de 40 metros, medidos horizontalmente desde el emplazamiento del hidrante hasta el perímetro (fachada) del edificio, o bien, hasta el espacio abierto a proteger. En los espacios abiertos (incluidos los entornos de los edificios) los hidrantes deben poder alcanzar las zonas con carga de fuego a proteger como, por ejemplo, los muelles de carga o las zonas de almacenamiento de materiales combustibles.b) En el caso de establecimientos donde parte del perímetro del edificio sea adyacente a otro edificio y por lo tanto dicha parte del perímetro no esté accesible (en configuraciones tipo AH o B), o bien, cuando no se disponga de superficie exterior perimetral propia para la colocación de los hidrantes de impulsión directa en una zona, o bien, cuando existan otras situaciones que imposibiliten instalar los hidrantes en una parte del perímetro del edificio considerado, se situarán los hidrantes solamente en las zonas donde sea factible hacerlo, lo cual se deberá justificar.c) A ser posible, la distancia entre el emplazamiento de cada hidrante y el límite exterior del edificio o zona protegidos, medida perpendicularmente a la fachada, debe estar comprendida entre 5 y 15 metros.d) Deberán identificarse como «hidrantes de impulsión directa», por medio de la señalización o en el propio hidrante, de forma que se puedan diferenciar fácilmente de los hidrantes para el llenado de camiones.e) El establecimiento deberá disponer del equipamiento necesario para poder hacer uso de los hidrantes (mangueras, lanzas, accesorios y herramientas que corresponda).f) La presión mínima requerida para estos hidrantes será de 500 kPa (5 kg/cm2) en la boca de salida, para contrarrestar la pérdida de carga de las mangueras y lanzas, durante la impulsión directa del agua sobre el incendio</t>
  </si>
  <si>
    <t>3.4 Los hidrantes de impulsión directa instalados según el apartado 3.3 también pueden servir para cubrir las exigencias de disponer hidrantes para llenado de camiones señaladas en el apartado 3.2, siempre que también se cumpla con lo citado allí.</t>
  </si>
  <si>
    <t>3.5 En el caso de que varios establecimientos industriales compartan la red de hidrantes con un sistema de abastecimiento conforme al apartado 2 del presente anexo, este deberá estar diseñado para el caso de demanda más exigente, pudiéndose considerar escenarios de incendio alternativos y excluyentes. Además, deberá garantizarse su correcto mantenimiento y accesibilidad en todo momento por parte de los titulares de los diferentes establecimientos que lo compartan.</t>
  </si>
  <si>
    <t>Caudal y tiempo de autonomia de los hidrantes de impulsión directa Tabla 3.3.3</t>
  </si>
  <si>
    <r>
      <rPr>
        <b/>
        <sz val="8"/>
        <color rgb="FF000000"/>
        <rFont val="Arial"/>
        <family val="2"/>
      </rPr>
      <t xml:space="preserve">Caudal
</t>
    </r>
    <r>
      <rPr>
        <b/>
        <sz val="8"/>
        <color rgb="FF000000"/>
        <rFont val="Arial"/>
        <family val="2"/>
      </rPr>
      <t>(l/min)</t>
    </r>
  </si>
  <si>
    <r>
      <rPr>
        <b/>
        <sz val="8"/>
        <color rgb="FF000000"/>
        <rFont val="Arial"/>
        <family val="2"/>
      </rPr>
      <t xml:space="preserve">Autonomía
</t>
    </r>
    <r>
      <rPr>
        <b/>
        <sz val="8"/>
        <color rgb="FF000000"/>
        <rFont val="Arial"/>
        <family val="2"/>
      </rPr>
      <t>(min)</t>
    </r>
  </si>
  <si>
    <r>
      <rPr>
        <b/>
        <sz val="8"/>
        <color rgb="FF000000"/>
        <rFont val="Arial"/>
        <family val="2"/>
      </rPr>
      <t>Eficacia</t>
    </r>
    <r>
      <rPr>
        <b/>
        <sz val="8"/>
        <color rgb="FF000000"/>
        <rFont val="Arial"/>
        <family val="2"/>
      </rPr>
      <t xml:space="preserve"> </t>
    </r>
    <r>
      <rPr>
        <b/>
        <sz val="8"/>
        <color rgb="FF000000"/>
        <rFont val="Arial"/>
        <family val="2"/>
      </rPr>
      <t>mínima</t>
    </r>
    <r>
      <rPr>
        <b/>
        <sz val="8"/>
        <color rgb="FF000000"/>
        <rFont val="Arial"/>
        <family val="2"/>
      </rPr>
      <t xml:space="preserve"> </t>
    </r>
    <r>
      <rPr>
        <b/>
        <sz val="8"/>
        <color rgb="FF000000"/>
        <rFont val="Arial"/>
        <family val="2"/>
      </rPr>
      <t>del</t>
    </r>
    <r>
      <rPr>
        <b/>
        <sz val="8"/>
        <color rgb="FF000000"/>
        <rFont val="Arial"/>
        <family val="2"/>
      </rPr>
      <t xml:space="preserve"> </t>
    </r>
    <r>
      <rPr>
        <b/>
        <sz val="8"/>
        <color rgb="FF000000"/>
        <rFont val="Arial"/>
        <family val="2"/>
      </rPr>
      <t>extintor</t>
    </r>
  </si>
  <si>
    <t>Nº de Extintores</t>
  </si>
  <si>
    <r>
      <rPr>
        <b/>
        <sz val="8"/>
        <color rgb="FF000000"/>
        <rFont val="Arial"/>
        <family val="2"/>
      </rPr>
      <t>Superficie</t>
    </r>
    <r>
      <rPr>
        <b/>
        <sz val="8"/>
        <color rgb="FF000000"/>
        <rFont val="Arial"/>
        <family val="2"/>
      </rPr>
      <t xml:space="preserve"> </t>
    </r>
    <r>
      <rPr>
        <b/>
        <sz val="8"/>
        <color rgb="FF000000"/>
        <rFont val="Arial"/>
        <family val="2"/>
      </rPr>
      <t>máxima</t>
    </r>
    <r>
      <rPr>
        <b/>
        <sz val="8"/>
        <color rgb="FF000000"/>
        <rFont val="Arial"/>
        <family val="2"/>
      </rPr>
      <t xml:space="preserve"> </t>
    </r>
    <r>
      <rPr>
        <b/>
        <sz val="8"/>
        <color rgb="FF000000"/>
        <rFont val="Arial"/>
        <family val="2"/>
      </rPr>
      <t>protegida</t>
    </r>
    <r>
      <rPr>
        <b/>
        <sz val="8"/>
        <color rgb="FF000000"/>
        <rFont val="Arial"/>
        <family val="2"/>
      </rPr>
      <t xml:space="preserve"> </t>
    </r>
    <r>
      <rPr>
        <b/>
        <sz val="8"/>
        <color rgb="FF000000"/>
        <rFont val="Arial"/>
        <family val="2"/>
      </rPr>
      <t>del</t>
    </r>
    <r>
      <rPr>
        <b/>
        <sz val="8"/>
        <color rgb="FF000000"/>
        <rFont val="Arial"/>
        <family val="2"/>
      </rPr>
      <t xml:space="preserve"> </t>
    </r>
    <r>
      <rPr>
        <b/>
        <sz val="8"/>
        <color rgb="FF000000"/>
        <rFont val="Arial"/>
        <family val="2"/>
      </rPr>
      <t>sector</t>
    </r>
    <r>
      <rPr>
        <b/>
        <sz val="8"/>
        <color rgb="FF000000"/>
        <rFont val="Arial"/>
        <family val="2"/>
      </rPr>
      <t xml:space="preserve"> </t>
    </r>
    <r>
      <rPr>
        <b/>
        <sz val="8"/>
        <color rgb="FF000000"/>
        <rFont val="Arial"/>
        <family val="2"/>
      </rPr>
      <t>de</t>
    </r>
    <r>
      <rPr>
        <b/>
        <sz val="8"/>
        <color rgb="FF000000"/>
        <rFont val="Arial"/>
        <family val="2"/>
      </rPr>
      <t xml:space="preserve"> </t>
    </r>
    <r>
      <rPr>
        <b/>
        <sz val="8"/>
        <color rgb="FF000000"/>
        <rFont val="Arial"/>
        <family val="2"/>
      </rPr>
      <t>incendio</t>
    </r>
  </si>
  <si>
    <t>Extintores portatiles</t>
  </si>
  <si>
    <t>Se  instalarán extintores de  incendio  portátiles en  todos  los sectores de  incendio  de los establecimientos industriales.</t>
  </si>
  <si>
    <t>21 A</t>
  </si>
  <si>
    <r>
      <rPr>
        <sz val="8"/>
        <color rgb="FF000000"/>
        <rFont val="Times New Roman"/>
        <family val="1"/>
      </rPr>
      <t>Hasta</t>
    </r>
    <r>
      <rPr>
        <sz val="8"/>
        <color rgb="FF000000"/>
        <rFont val="Times New Roman"/>
        <family val="1"/>
      </rPr>
      <t xml:space="preserve"> </t>
    </r>
    <r>
      <rPr>
        <sz val="8"/>
        <color rgb="FF000000"/>
        <rFont val="Times New Roman"/>
        <family val="1"/>
      </rPr>
      <t>600</t>
    </r>
    <r>
      <rPr>
        <sz val="8"/>
        <color rgb="FF000000"/>
        <rFont val="Times New Roman"/>
        <family val="1"/>
      </rPr>
      <t xml:space="preserve"> </t>
    </r>
    <r>
      <rPr>
        <sz val="8"/>
        <color rgb="FF000000"/>
        <rFont val="Times New Roman"/>
        <family val="1"/>
      </rPr>
      <t>m</t>
    </r>
    <r>
      <rPr>
        <sz val="5"/>
        <color rgb="FF000000"/>
        <rFont val="Times New Roman"/>
        <family val="1"/>
      </rPr>
      <t>2</t>
    </r>
    <r>
      <rPr>
        <sz val="5"/>
        <color rgb="FF000000"/>
        <rFont val="Times New Roman"/>
        <family val="1"/>
      </rPr>
      <t xml:space="preserve"> </t>
    </r>
    <r>
      <rPr>
        <sz val="5"/>
        <color rgb="FF000000"/>
        <rFont val="Times New Roman"/>
        <family val="1"/>
      </rPr>
      <t xml:space="preserve"> </t>
    </r>
    <r>
      <rPr>
        <sz val="8"/>
        <color rgb="FF000000"/>
        <rFont val="Times New Roman"/>
        <family val="1"/>
      </rPr>
      <t>(un</t>
    </r>
    <r>
      <rPr>
        <sz val="8"/>
        <color rgb="FF000000"/>
        <rFont val="Times New Roman"/>
        <family val="1"/>
      </rPr>
      <t xml:space="preserve"> </t>
    </r>
    <r>
      <rPr>
        <sz val="8"/>
        <color rgb="FF000000"/>
        <rFont val="Times New Roman"/>
        <family val="1"/>
      </rPr>
      <t>extintor</t>
    </r>
    <r>
      <rPr>
        <sz val="8"/>
        <color rgb="FF000000"/>
        <rFont val="Times New Roman"/>
        <family val="1"/>
      </rPr>
      <t xml:space="preserve"> </t>
    </r>
    <r>
      <rPr>
        <sz val="8"/>
        <color rgb="FF000000"/>
        <rFont val="Times New Roman"/>
        <family val="1"/>
      </rPr>
      <t>más</t>
    </r>
    <r>
      <rPr>
        <sz val="8"/>
        <color rgb="FF000000"/>
        <rFont val="Times New Roman"/>
        <family val="1"/>
      </rPr>
      <t xml:space="preserve"> </t>
    </r>
    <r>
      <rPr>
        <sz val="8"/>
        <color rgb="FF000000"/>
        <rFont val="Times New Roman"/>
        <family val="1"/>
      </rPr>
      <t xml:space="preserve"> </t>
    </r>
    <r>
      <rPr>
        <sz val="8"/>
        <color rgb="FF000000"/>
        <rFont val="Times New Roman"/>
        <family val="1"/>
      </rPr>
      <t>por</t>
    </r>
    <r>
      <rPr>
        <sz val="8"/>
        <color rgb="FF000000"/>
        <rFont val="Times New Roman"/>
        <family val="1"/>
      </rPr>
      <t xml:space="preserve"> </t>
    </r>
    <r>
      <rPr>
        <sz val="8"/>
        <color rgb="FF000000"/>
        <rFont val="Times New Roman"/>
        <family val="1"/>
      </rPr>
      <t>cada</t>
    </r>
    <r>
      <rPr>
        <sz val="8"/>
        <color rgb="FF000000"/>
        <rFont val="Times New Roman"/>
        <family val="1"/>
      </rPr>
      <t xml:space="preserve"> </t>
    </r>
    <r>
      <rPr>
        <sz val="8"/>
        <color rgb="FF000000"/>
        <rFont val="Times New Roman"/>
        <family val="1"/>
      </rPr>
      <t>200</t>
    </r>
    <r>
      <rPr>
        <sz val="8"/>
        <color rgb="FF000000"/>
        <rFont val="Times New Roman"/>
        <family val="1"/>
      </rPr>
      <t xml:space="preserve"> </t>
    </r>
    <r>
      <rPr>
        <sz val="8"/>
        <color rgb="FF000000"/>
        <rFont val="Times New Roman"/>
        <family val="1"/>
      </rPr>
      <t>m</t>
    </r>
    <r>
      <rPr>
        <sz val="5"/>
        <color rgb="FF000000"/>
        <rFont val="Times New Roman"/>
        <family val="1"/>
      </rPr>
      <t>2</t>
    </r>
    <r>
      <rPr>
        <sz val="8"/>
        <color rgb="FF000000"/>
        <rFont val="Times New Roman"/>
        <family val="1"/>
      </rPr>
      <t>,</t>
    </r>
    <r>
      <rPr>
        <sz val="8"/>
        <color rgb="FF000000"/>
        <rFont val="Times New Roman"/>
        <family val="1"/>
      </rPr>
      <t xml:space="preserve"> </t>
    </r>
    <r>
      <rPr>
        <sz val="8"/>
        <color rgb="FF000000"/>
        <rFont val="Times New Roman"/>
        <family val="1"/>
      </rPr>
      <t>o</t>
    </r>
    <r>
      <rPr>
        <sz val="8"/>
        <color rgb="FF000000"/>
        <rFont val="Times New Roman"/>
        <family val="1"/>
      </rPr>
      <t xml:space="preserve"> </t>
    </r>
    <r>
      <rPr>
        <sz val="8"/>
        <color rgb="FF000000"/>
        <rFont val="Times New Roman"/>
        <family val="1"/>
      </rPr>
      <t>fracción,</t>
    </r>
    <r>
      <rPr>
        <sz val="8"/>
        <color rgb="FF000000"/>
        <rFont val="Times New Roman"/>
        <family val="1"/>
      </rPr>
      <t xml:space="preserve"> </t>
    </r>
    <r>
      <rPr>
        <sz val="8"/>
        <color rgb="FF000000"/>
        <rFont val="Times New Roman"/>
        <family val="1"/>
      </rPr>
      <t xml:space="preserve"> </t>
    </r>
    <r>
      <rPr>
        <sz val="8"/>
        <color rgb="FF000000"/>
        <rFont val="Times New Roman"/>
        <family val="1"/>
      </rPr>
      <t>en</t>
    </r>
    <r>
      <rPr>
        <sz val="8"/>
        <color rgb="FF000000"/>
        <rFont val="Times New Roman"/>
        <family val="1"/>
      </rPr>
      <t xml:space="preserve"> </t>
    </r>
    <r>
      <rPr>
        <sz val="8"/>
        <color rgb="FF000000"/>
        <rFont val="Times New Roman"/>
        <family val="1"/>
      </rPr>
      <t>exceso).</t>
    </r>
  </si>
  <si>
    <t>Como  excepción a  lo anterior, en  las  zonas de  los  almacenamientos operados automáticamente, en los que  la actividad  impide el acceso de personas, podrá  justificarse la no instalación de extintores.</t>
  </si>
  <si>
    <r>
      <rPr>
        <sz val="8"/>
        <color rgb="FF000000"/>
        <rFont val="Times New Roman"/>
        <family val="1"/>
      </rPr>
      <t>Hasta</t>
    </r>
    <r>
      <rPr>
        <sz val="8"/>
        <color rgb="FF000000"/>
        <rFont val="Times New Roman"/>
        <family val="1"/>
      </rPr>
      <t xml:space="preserve"> </t>
    </r>
    <r>
      <rPr>
        <sz val="8"/>
        <color rgb="FF000000"/>
        <rFont val="Times New Roman"/>
        <family val="1"/>
      </rPr>
      <t>600</t>
    </r>
    <r>
      <rPr>
        <sz val="8"/>
        <color rgb="FF000000"/>
        <rFont val="Times New Roman"/>
        <family val="1"/>
      </rPr>
      <t xml:space="preserve"> </t>
    </r>
    <r>
      <rPr>
        <sz val="8"/>
        <color rgb="FF000000"/>
        <rFont val="Times New Roman"/>
        <family val="1"/>
      </rPr>
      <t>m</t>
    </r>
    <r>
      <rPr>
        <sz val="5"/>
        <color rgb="FF000000"/>
        <rFont val="Times New Roman"/>
        <family val="1"/>
      </rPr>
      <t>2</t>
    </r>
    <r>
      <rPr>
        <sz val="5"/>
        <color rgb="FF000000"/>
        <rFont val="Times New Roman"/>
        <family val="1"/>
      </rPr>
      <t xml:space="preserve"> </t>
    </r>
    <r>
      <rPr>
        <sz val="5"/>
        <color rgb="FF000000"/>
        <rFont val="Times New Roman"/>
        <family val="1"/>
      </rPr>
      <t xml:space="preserve"> </t>
    </r>
    <r>
      <rPr>
        <sz val="8"/>
        <color rgb="FF000000"/>
        <rFont val="Times New Roman"/>
        <family val="1"/>
      </rPr>
      <t>(un</t>
    </r>
    <r>
      <rPr>
        <sz val="8"/>
        <color rgb="FF000000"/>
        <rFont val="Times New Roman"/>
        <family val="1"/>
      </rPr>
      <t xml:space="preserve"> </t>
    </r>
    <r>
      <rPr>
        <sz val="8"/>
        <color rgb="FF000000"/>
        <rFont val="Times New Roman"/>
        <family val="1"/>
      </rPr>
      <t>extintor</t>
    </r>
    <r>
      <rPr>
        <sz val="8"/>
        <color rgb="FF000000"/>
        <rFont val="Times New Roman"/>
        <family val="1"/>
      </rPr>
      <t xml:space="preserve"> </t>
    </r>
    <r>
      <rPr>
        <sz val="8"/>
        <color rgb="FF000000"/>
        <rFont val="Times New Roman"/>
        <family val="1"/>
      </rPr>
      <t>más</t>
    </r>
    <r>
      <rPr>
        <sz val="8"/>
        <color rgb="FF000000"/>
        <rFont val="Times New Roman"/>
        <family val="1"/>
      </rPr>
      <t xml:space="preserve"> </t>
    </r>
    <r>
      <rPr>
        <sz val="8"/>
        <color rgb="FF000000"/>
        <rFont val="Times New Roman"/>
        <family val="1"/>
      </rPr>
      <t xml:space="preserve"> </t>
    </r>
    <r>
      <rPr>
        <sz val="8"/>
        <color rgb="FF000000"/>
        <rFont val="Times New Roman"/>
        <family val="1"/>
      </rPr>
      <t>por</t>
    </r>
    <r>
      <rPr>
        <sz val="8"/>
        <color rgb="FF000000"/>
        <rFont val="Times New Roman"/>
        <family val="1"/>
      </rPr>
      <t xml:space="preserve"> </t>
    </r>
    <r>
      <rPr>
        <sz val="8"/>
        <color rgb="FF000000"/>
        <rFont val="Times New Roman"/>
        <family val="1"/>
      </rPr>
      <t>cada</t>
    </r>
    <r>
      <rPr>
        <sz val="8"/>
        <color rgb="FF000000"/>
        <rFont val="Times New Roman"/>
        <family val="1"/>
      </rPr>
      <t xml:space="preserve"> </t>
    </r>
    <r>
      <rPr>
        <sz val="8"/>
        <color rgb="FF000000"/>
        <rFont val="Times New Roman"/>
        <family val="1"/>
      </rPr>
      <t>200</t>
    </r>
    <r>
      <rPr>
        <sz val="8"/>
        <color rgb="FF000000"/>
        <rFont val="Times New Roman"/>
        <family val="1"/>
      </rPr>
      <t xml:space="preserve"> </t>
    </r>
    <r>
      <rPr>
        <sz val="8"/>
        <color rgb="FF000000"/>
        <rFont val="Times New Roman"/>
        <family val="1"/>
      </rPr>
      <t>m</t>
    </r>
    <r>
      <rPr>
        <sz val="5"/>
        <color rgb="FF000000"/>
        <rFont val="Times New Roman"/>
        <family val="1"/>
      </rPr>
      <t>2</t>
    </r>
    <r>
      <rPr>
        <sz val="8"/>
        <color rgb="FF000000"/>
        <rFont val="Times New Roman"/>
        <family val="1"/>
      </rPr>
      <t>,</t>
    </r>
    <r>
      <rPr>
        <sz val="8"/>
        <color rgb="FF000000"/>
        <rFont val="Times New Roman"/>
        <family val="1"/>
      </rPr>
      <t xml:space="preserve"> </t>
    </r>
    <r>
      <rPr>
        <sz val="8"/>
        <color rgb="FF000000"/>
        <rFont val="Times New Roman"/>
        <family val="1"/>
      </rPr>
      <t>o</t>
    </r>
    <r>
      <rPr>
        <sz val="8"/>
        <color rgb="FF000000"/>
        <rFont val="Times New Roman"/>
        <family val="1"/>
      </rPr>
      <t xml:space="preserve"> </t>
    </r>
    <r>
      <rPr>
        <sz val="8"/>
        <color rgb="FF000000"/>
        <rFont val="Times New Roman"/>
        <family val="1"/>
      </rPr>
      <t>fracción,</t>
    </r>
    <r>
      <rPr>
        <sz val="8"/>
        <color rgb="FF000000"/>
        <rFont val="Times New Roman"/>
        <family val="1"/>
      </rPr>
      <t xml:space="preserve"> </t>
    </r>
    <r>
      <rPr>
        <sz val="8"/>
        <color rgb="FF000000"/>
        <rFont val="Times New Roman"/>
        <family val="1"/>
      </rPr>
      <t xml:space="preserve"> </t>
    </r>
    <r>
      <rPr>
        <sz val="8"/>
        <color rgb="FF000000"/>
        <rFont val="Times New Roman"/>
        <family val="1"/>
      </rPr>
      <t>en</t>
    </r>
    <r>
      <rPr>
        <sz val="8"/>
        <color rgb="FF000000"/>
        <rFont val="Times New Roman"/>
        <family val="1"/>
      </rPr>
      <t xml:space="preserve"> </t>
    </r>
    <r>
      <rPr>
        <sz val="8"/>
        <color rgb="FF000000"/>
        <rFont val="Times New Roman"/>
        <family val="1"/>
      </rPr>
      <t>exceso).</t>
    </r>
  </si>
  <si>
    <r>
      <rPr>
        <sz val="8"/>
        <color rgb="FF000000"/>
        <rFont val="Times New Roman"/>
        <family val="1"/>
      </rPr>
      <t>Hasta</t>
    </r>
    <r>
      <rPr>
        <sz val="8"/>
        <color rgb="FF000000"/>
        <rFont val="Times New Roman"/>
        <family val="1"/>
      </rPr>
      <t xml:space="preserve"> </t>
    </r>
    <r>
      <rPr>
        <sz val="8"/>
        <color rgb="FF000000"/>
        <rFont val="Times New Roman"/>
        <family val="1"/>
      </rPr>
      <t>400</t>
    </r>
    <r>
      <rPr>
        <sz val="8"/>
        <color rgb="FF000000"/>
        <rFont val="Times New Roman"/>
        <family val="1"/>
      </rPr>
      <t xml:space="preserve"> </t>
    </r>
    <r>
      <rPr>
        <sz val="8"/>
        <color rgb="FF000000"/>
        <rFont val="Times New Roman"/>
        <family val="1"/>
      </rPr>
      <t>m</t>
    </r>
    <r>
      <rPr>
        <sz val="5"/>
        <color rgb="FF000000"/>
        <rFont val="Times New Roman"/>
        <family val="1"/>
      </rPr>
      <t>2</t>
    </r>
    <r>
      <rPr>
        <sz val="5"/>
        <color rgb="FF000000"/>
        <rFont val="Times New Roman"/>
        <family val="1"/>
      </rPr>
      <t xml:space="preserve"> </t>
    </r>
    <r>
      <rPr>
        <sz val="5"/>
        <color rgb="FF000000"/>
        <rFont val="Times New Roman"/>
        <family val="1"/>
      </rPr>
      <t xml:space="preserve"> </t>
    </r>
    <r>
      <rPr>
        <sz val="8"/>
        <color rgb="FF000000"/>
        <rFont val="Times New Roman"/>
        <family val="1"/>
      </rPr>
      <t>(un</t>
    </r>
    <r>
      <rPr>
        <sz val="8"/>
        <color rgb="FF000000"/>
        <rFont val="Times New Roman"/>
        <family val="1"/>
      </rPr>
      <t xml:space="preserve"> </t>
    </r>
    <r>
      <rPr>
        <sz val="8"/>
        <color rgb="FF000000"/>
        <rFont val="Times New Roman"/>
        <family val="1"/>
      </rPr>
      <t>extintor</t>
    </r>
    <r>
      <rPr>
        <sz val="8"/>
        <color rgb="FF000000"/>
        <rFont val="Times New Roman"/>
        <family val="1"/>
      </rPr>
      <t xml:space="preserve"> </t>
    </r>
    <r>
      <rPr>
        <sz val="8"/>
        <color rgb="FF000000"/>
        <rFont val="Times New Roman"/>
        <family val="1"/>
      </rPr>
      <t>más</t>
    </r>
    <r>
      <rPr>
        <sz val="8"/>
        <color rgb="FF000000"/>
        <rFont val="Times New Roman"/>
        <family val="1"/>
      </rPr>
      <t xml:space="preserve"> </t>
    </r>
    <r>
      <rPr>
        <sz val="8"/>
        <color rgb="FF000000"/>
        <rFont val="Times New Roman"/>
        <family val="1"/>
      </rPr>
      <t xml:space="preserve"> </t>
    </r>
    <r>
      <rPr>
        <sz val="8"/>
        <color rgb="FF000000"/>
        <rFont val="Times New Roman"/>
        <family val="1"/>
      </rPr>
      <t>por</t>
    </r>
    <r>
      <rPr>
        <sz val="8"/>
        <color rgb="FF000000"/>
        <rFont val="Times New Roman"/>
        <family val="1"/>
      </rPr>
      <t xml:space="preserve"> </t>
    </r>
    <r>
      <rPr>
        <sz val="8"/>
        <color rgb="FF000000"/>
        <rFont val="Times New Roman"/>
        <family val="1"/>
      </rPr>
      <t>cada</t>
    </r>
    <r>
      <rPr>
        <sz val="8"/>
        <color rgb="FF000000"/>
        <rFont val="Times New Roman"/>
        <family val="1"/>
      </rPr>
      <t xml:space="preserve"> </t>
    </r>
    <r>
      <rPr>
        <sz val="8"/>
        <color rgb="FF000000"/>
        <rFont val="Times New Roman"/>
        <family val="1"/>
      </rPr>
      <t>200</t>
    </r>
    <r>
      <rPr>
        <sz val="8"/>
        <color rgb="FF000000"/>
        <rFont val="Times New Roman"/>
        <family val="1"/>
      </rPr>
      <t xml:space="preserve"> </t>
    </r>
    <r>
      <rPr>
        <sz val="8"/>
        <color rgb="FF000000"/>
        <rFont val="Times New Roman"/>
        <family val="1"/>
      </rPr>
      <t>m</t>
    </r>
    <r>
      <rPr>
        <sz val="5"/>
        <color rgb="FF000000"/>
        <rFont val="Times New Roman"/>
        <family val="1"/>
      </rPr>
      <t>2</t>
    </r>
    <r>
      <rPr>
        <sz val="8"/>
        <color rgb="FF000000"/>
        <rFont val="Times New Roman"/>
        <family val="1"/>
      </rPr>
      <t>,</t>
    </r>
    <r>
      <rPr>
        <sz val="8"/>
        <color rgb="FF000000"/>
        <rFont val="Times New Roman"/>
        <family val="1"/>
      </rPr>
      <t xml:space="preserve"> </t>
    </r>
    <r>
      <rPr>
        <sz val="8"/>
        <color rgb="FF000000"/>
        <rFont val="Times New Roman"/>
        <family val="1"/>
      </rPr>
      <t>o</t>
    </r>
    <r>
      <rPr>
        <sz val="8"/>
        <color rgb="FF000000"/>
        <rFont val="Times New Roman"/>
        <family val="1"/>
      </rPr>
      <t xml:space="preserve"> </t>
    </r>
    <r>
      <rPr>
        <sz val="8"/>
        <color rgb="FF000000"/>
        <rFont val="Times New Roman"/>
        <family val="1"/>
      </rPr>
      <t>fracción,</t>
    </r>
    <r>
      <rPr>
        <sz val="8"/>
        <color rgb="FF000000"/>
        <rFont val="Times New Roman"/>
        <family val="1"/>
      </rPr>
      <t xml:space="preserve"> </t>
    </r>
    <r>
      <rPr>
        <sz val="8"/>
        <color rgb="FF000000"/>
        <rFont val="Times New Roman"/>
        <family val="1"/>
      </rPr>
      <t xml:space="preserve"> </t>
    </r>
    <r>
      <rPr>
        <sz val="8"/>
        <color rgb="FF000000"/>
        <rFont val="Times New Roman"/>
        <family val="1"/>
      </rPr>
      <t>en</t>
    </r>
    <r>
      <rPr>
        <sz val="8"/>
        <color rgb="FF000000"/>
        <rFont val="Times New Roman"/>
        <family val="1"/>
      </rPr>
      <t xml:space="preserve"> </t>
    </r>
    <r>
      <rPr>
        <sz val="8"/>
        <color rgb="FF000000"/>
        <rFont val="Times New Roman"/>
        <family val="1"/>
      </rPr>
      <t>exceso).</t>
    </r>
  </si>
  <si>
    <t>Agente extintor estipulado en el anexo I del RIPCI</t>
  </si>
  <si>
    <r>
      <rPr>
        <sz val="8"/>
        <color rgb="FF000000"/>
        <rFont val="Times New Roman"/>
        <family val="1"/>
      </rPr>
      <t>Hasta</t>
    </r>
    <r>
      <rPr>
        <sz val="8"/>
        <color rgb="FF000000"/>
        <rFont val="Times New Roman"/>
        <family val="1"/>
      </rPr>
      <t xml:space="preserve"> </t>
    </r>
    <r>
      <rPr>
        <sz val="8"/>
        <color rgb="FF000000"/>
        <rFont val="Times New Roman"/>
        <family val="1"/>
      </rPr>
      <t>400</t>
    </r>
    <r>
      <rPr>
        <sz val="8"/>
        <color rgb="FF000000"/>
        <rFont val="Times New Roman"/>
        <family val="1"/>
      </rPr>
      <t xml:space="preserve"> </t>
    </r>
    <r>
      <rPr>
        <sz val="8"/>
        <color rgb="FF000000"/>
        <rFont val="Times New Roman"/>
        <family val="1"/>
      </rPr>
      <t>m</t>
    </r>
    <r>
      <rPr>
        <sz val="5"/>
        <color rgb="FF000000"/>
        <rFont val="Times New Roman"/>
        <family val="1"/>
      </rPr>
      <t>2</t>
    </r>
    <r>
      <rPr>
        <sz val="5"/>
        <color rgb="FF000000"/>
        <rFont val="Times New Roman"/>
        <family val="1"/>
      </rPr>
      <t xml:space="preserve"> </t>
    </r>
    <r>
      <rPr>
        <sz val="5"/>
        <color rgb="FF000000"/>
        <rFont val="Times New Roman"/>
        <family val="1"/>
      </rPr>
      <t xml:space="preserve"> </t>
    </r>
    <r>
      <rPr>
        <sz val="8"/>
        <color rgb="FF000000"/>
        <rFont val="Times New Roman"/>
        <family val="1"/>
      </rPr>
      <t>(un</t>
    </r>
    <r>
      <rPr>
        <sz val="8"/>
        <color rgb="FF000000"/>
        <rFont val="Times New Roman"/>
        <family val="1"/>
      </rPr>
      <t xml:space="preserve"> </t>
    </r>
    <r>
      <rPr>
        <sz val="8"/>
        <color rgb="FF000000"/>
        <rFont val="Times New Roman"/>
        <family val="1"/>
      </rPr>
      <t>extintor</t>
    </r>
    <r>
      <rPr>
        <sz val="8"/>
        <color rgb="FF000000"/>
        <rFont val="Times New Roman"/>
        <family val="1"/>
      </rPr>
      <t xml:space="preserve"> </t>
    </r>
    <r>
      <rPr>
        <sz val="8"/>
        <color rgb="FF000000"/>
        <rFont val="Times New Roman"/>
        <family val="1"/>
      </rPr>
      <t>más</t>
    </r>
    <r>
      <rPr>
        <sz val="8"/>
        <color rgb="FF000000"/>
        <rFont val="Times New Roman"/>
        <family val="1"/>
      </rPr>
      <t xml:space="preserve"> </t>
    </r>
    <r>
      <rPr>
        <sz val="8"/>
        <color rgb="FF000000"/>
        <rFont val="Times New Roman"/>
        <family val="1"/>
      </rPr>
      <t xml:space="preserve"> </t>
    </r>
    <r>
      <rPr>
        <sz val="8"/>
        <color rgb="FF000000"/>
        <rFont val="Times New Roman"/>
        <family val="1"/>
      </rPr>
      <t>por</t>
    </r>
    <r>
      <rPr>
        <sz val="8"/>
        <color rgb="FF000000"/>
        <rFont val="Times New Roman"/>
        <family val="1"/>
      </rPr>
      <t xml:space="preserve"> </t>
    </r>
    <r>
      <rPr>
        <sz val="8"/>
        <color rgb="FF000000"/>
        <rFont val="Times New Roman"/>
        <family val="1"/>
      </rPr>
      <t>cada</t>
    </r>
    <r>
      <rPr>
        <sz val="8"/>
        <color rgb="FF000000"/>
        <rFont val="Times New Roman"/>
        <family val="1"/>
      </rPr>
      <t xml:space="preserve"> </t>
    </r>
    <r>
      <rPr>
        <sz val="8"/>
        <color rgb="FF000000"/>
        <rFont val="Times New Roman"/>
        <family val="1"/>
      </rPr>
      <t>200</t>
    </r>
    <r>
      <rPr>
        <sz val="8"/>
        <color rgb="FF000000"/>
        <rFont val="Times New Roman"/>
        <family val="1"/>
      </rPr>
      <t xml:space="preserve"> </t>
    </r>
    <r>
      <rPr>
        <sz val="8"/>
        <color rgb="FF000000"/>
        <rFont val="Times New Roman"/>
        <family val="1"/>
      </rPr>
      <t>m</t>
    </r>
    <r>
      <rPr>
        <sz val="5"/>
        <color rgb="FF000000"/>
        <rFont val="Times New Roman"/>
        <family val="1"/>
      </rPr>
      <t>2</t>
    </r>
    <r>
      <rPr>
        <sz val="8"/>
        <color rgb="FF000000"/>
        <rFont val="Times New Roman"/>
        <family val="1"/>
      </rPr>
      <t>,</t>
    </r>
    <r>
      <rPr>
        <sz val="8"/>
        <color rgb="FF000000"/>
        <rFont val="Times New Roman"/>
        <family val="1"/>
      </rPr>
      <t xml:space="preserve"> </t>
    </r>
    <r>
      <rPr>
        <sz val="8"/>
        <color rgb="FF000000"/>
        <rFont val="Times New Roman"/>
        <family val="1"/>
      </rPr>
      <t>o</t>
    </r>
    <r>
      <rPr>
        <sz val="8"/>
        <color rgb="FF000000"/>
        <rFont val="Times New Roman"/>
        <family val="1"/>
      </rPr>
      <t xml:space="preserve"> </t>
    </r>
    <r>
      <rPr>
        <sz val="8"/>
        <color rgb="FF000000"/>
        <rFont val="Times New Roman"/>
        <family val="1"/>
      </rPr>
      <t>fracción,</t>
    </r>
    <r>
      <rPr>
        <sz val="8"/>
        <color rgb="FF000000"/>
        <rFont val="Times New Roman"/>
        <family val="1"/>
      </rPr>
      <t xml:space="preserve"> </t>
    </r>
    <r>
      <rPr>
        <sz val="8"/>
        <color rgb="FF000000"/>
        <rFont val="Times New Roman"/>
        <family val="1"/>
      </rPr>
      <t xml:space="preserve"> </t>
    </r>
    <r>
      <rPr>
        <sz val="8"/>
        <color rgb="FF000000"/>
        <rFont val="Times New Roman"/>
        <family val="1"/>
      </rPr>
      <t>en</t>
    </r>
    <r>
      <rPr>
        <sz val="8"/>
        <color rgb="FF000000"/>
        <rFont val="Times New Roman"/>
        <family val="1"/>
      </rPr>
      <t xml:space="preserve"> </t>
    </r>
    <r>
      <rPr>
        <sz val="8"/>
        <color rgb="FF000000"/>
        <rFont val="Times New Roman"/>
        <family val="1"/>
      </rPr>
      <t>exceso).</t>
    </r>
  </si>
  <si>
    <r>
      <rPr>
        <sz val="8"/>
        <color rgb="FF000000"/>
        <rFont val="Times New Roman"/>
        <family val="1"/>
      </rPr>
      <t>Hasta</t>
    </r>
    <r>
      <rPr>
        <sz val="8"/>
        <color rgb="FF000000"/>
        <rFont val="Times New Roman"/>
        <family val="1"/>
      </rPr>
      <t xml:space="preserve"> </t>
    </r>
    <r>
      <rPr>
        <sz val="8"/>
        <color rgb="FF000000"/>
        <rFont val="Times New Roman"/>
        <family val="1"/>
      </rPr>
      <t>400</t>
    </r>
    <r>
      <rPr>
        <sz val="8"/>
        <color rgb="FF000000"/>
        <rFont val="Times New Roman"/>
        <family val="1"/>
      </rPr>
      <t xml:space="preserve"> </t>
    </r>
    <r>
      <rPr>
        <sz val="8"/>
        <color rgb="FF000000"/>
        <rFont val="Times New Roman"/>
        <family val="1"/>
      </rPr>
      <t>m</t>
    </r>
    <r>
      <rPr>
        <sz val="5"/>
        <color rgb="FF000000"/>
        <rFont val="Times New Roman"/>
        <family val="1"/>
      </rPr>
      <t>2</t>
    </r>
    <r>
      <rPr>
        <sz val="5"/>
        <color rgb="FF000000"/>
        <rFont val="Times New Roman"/>
        <family val="1"/>
      </rPr>
      <t xml:space="preserve"> </t>
    </r>
    <r>
      <rPr>
        <sz val="5"/>
        <color rgb="FF000000"/>
        <rFont val="Times New Roman"/>
        <family val="1"/>
      </rPr>
      <t xml:space="preserve"> </t>
    </r>
    <r>
      <rPr>
        <sz val="8"/>
        <color rgb="FF000000"/>
        <rFont val="Times New Roman"/>
        <family val="1"/>
      </rPr>
      <t>(un</t>
    </r>
    <r>
      <rPr>
        <sz val="8"/>
        <color rgb="FF000000"/>
        <rFont val="Times New Roman"/>
        <family val="1"/>
      </rPr>
      <t xml:space="preserve"> </t>
    </r>
    <r>
      <rPr>
        <sz val="8"/>
        <color rgb="FF000000"/>
        <rFont val="Times New Roman"/>
        <family val="1"/>
      </rPr>
      <t>extintor</t>
    </r>
    <r>
      <rPr>
        <sz val="8"/>
        <color rgb="FF000000"/>
        <rFont val="Times New Roman"/>
        <family val="1"/>
      </rPr>
      <t xml:space="preserve"> </t>
    </r>
    <r>
      <rPr>
        <sz val="8"/>
        <color rgb="FF000000"/>
        <rFont val="Times New Roman"/>
        <family val="1"/>
      </rPr>
      <t>más</t>
    </r>
    <r>
      <rPr>
        <sz val="8"/>
        <color rgb="FF000000"/>
        <rFont val="Times New Roman"/>
        <family val="1"/>
      </rPr>
      <t xml:space="preserve"> </t>
    </r>
    <r>
      <rPr>
        <sz val="8"/>
        <color rgb="FF000000"/>
        <rFont val="Times New Roman"/>
        <family val="1"/>
      </rPr>
      <t xml:space="preserve"> </t>
    </r>
    <r>
      <rPr>
        <sz val="8"/>
        <color rgb="FF000000"/>
        <rFont val="Times New Roman"/>
        <family val="1"/>
      </rPr>
      <t>por</t>
    </r>
    <r>
      <rPr>
        <sz val="8"/>
        <color rgb="FF000000"/>
        <rFont val="Times New Roman"/>
        <family val="1"/>
      </rPr>
      <t xml:space="preserve"> </t>
    </r>
    <r>
      <rPr>
        <sz val="8"/>
        <color rgb="FF000000"/>
        <rFont val="Times New Roman"/>
        <family val="1"/>
      </rPr>
      <t>cada</t>
    </r>
    <r>
      <rPr>
        <sz val="8"/>
        <color rgb="FF000000"/>
        <rFont val="Times New Roman"/>
        <family val="1"/>
      </rPr>
      <t xml:space="preserve"> </t>
    </r>
    <r>
      <rPr>
        <sz val="8"/>
        <color rgb="FF000000"/>
        <rFont val="Times New Roman"/>
        <family val="1"/>
      </rPr>
      <t>200</t>
    </r>
    <r>
      <rPr>
        <sz val="8"/>
        <color rgb="FF000000"/>
        <rFont val="Times New Roman"/>
        <family val="1"/>
      </rPr>
      <t xml:space="preserve"> </t>
    </r>
    <r>
      <rPr>
        <sz val="8"/>
        <color rgb="FF000000"/>
        <rFont val="Times New Roman"/>
        <family val="1"/>
      </rPr>
      <t>m</t>
    </r>
    <r>
      <rPr>
        <sz val="5"/>
        <color rgb="FF000000"/>
        <rFont val="Times New Roman"/>
        <family val="1"/>
      </rPr>
      <t>2</t>
    </r>
    <r>
      <rPr>
        <sz val="8"/>
        <color rgb="FF000000"/>
        <rFont val="Times New Roman"/>
        <family val="1"/>
      </rPr>
      <t>,</t>
    </r>
    <r>
      <rPr>
        <sz val="8"/>
        <color rgb="FF000000"/>
        <rFont val="Times New Roman"/>
        <family val="1"/>
      </rPr>
      <t xml:space="preserve"> </t>
    </r>
    <r>
      <rPr>
        <sz val="8"/>
        <color rgb="FF000000"/>
        <rFont val="Times New Roman"/>
        <family val="1"/>
      </rPr>
      <t>o</t>
    </r>
    <r>
      <rPr>
        <sz val="8"/>
        <color rgb="FF000000"/>
        <rFont val="Times New Roman"/>
        <family val="1"/>
      </rPr>
      <t xml:space="preserve"> </t>
    </r>
    <r>
      <rPr>
        <sz val="8"/>
        <color rgb="FF000000"/>
        <rFont val="Times New Roman"/>
        <family val="1"/>
      </rPr>
      <t>fracción,</t>
    </r>
    <r>
      <rPr>
        <sz val="8"/>
        <color rgb="FF000000"/>
        <rFont val="Times New Roman"/>
        <family val="1"/>
      </rPr>
      <t xml:space="preserve"> </t>
    </r>
    <r>
      <rPr>
        <sz val="8"/>
        <color rgb="FF000000"/>
        <rFont val="Times New Roman"/>
        <family val="1"/>
      </rPr>
      <t xml:space="preserve"> </t>
    </r>
    <r>
      <rPr>
        <sz val="8"/>
        <color rgb="FF000000"/>
        <rFont val="Times New Roman"/>
        <family val="1"/>
      </rPr>
      <t>en</t>
    </r>
    <r>
      <rPr>
        <sz val="8"/>
        <color rgb="FF000000"/>
        <rFont val="Times New Roman"/>
        <family val="1"/>
      </rPr>
      <t xml:space="preserve"> </t>
    </r>
    <r>
      <rPr>
        <sz val="8"/>
        <color rgb="FF000000"/>
        <rFont val="Times New Roman"/>
        <family val="1"/>
      </rPr>
      <t>exceso).</t>
    </r>
  </si>
  <si>
    <t>34 A</t>
  </si>
  <si>
    <r>
      <rPr>
        <sz val="8"/>
        <color rgb="FF000000"/>
        <rFont val="Times New Roman"/>
        <family val="1"/>
      </rPr>
      <t>Hasta</t>
    </r>
    <r>
      <rPr>
        <sz val="8"/>
        <color rgb="FF000000"/>
        <rFont val="Times New Roman"/>
        <family val="1"/>
      </rPr>
      <t xml:space="preserve"> </t>
    </r>
    <r>
      <rPr>
        <sz val="8"/>
        <color rgb="FF000000"/>
        <rFont val="Times New Roman"/>
        <family val="1"/>
      </rPr>
      <t>300</t>
    </r>
    <r>
      <rPr>
        <sz val="8"/>
        <color rgb="FF000000"/>
        <rFont val="Times New Roman"/>
        <family val="1"/>
      </rPr>
      <t xml:space="preserve"> </t>
    </r>
    <r>
      <rPr>
        <sz val="8"/>
        <color rgb="FF000000"/>
        <rFont val="Times New Roman"/>
        <family val="1"/>
      </rPr>
      <t>m</t>
    </r>
    <r>
      <rPr>
        <sz val="5"/>
        <color rgb="FF000000"/>
        <rFont val="Times New Roman"/>
        <family val="1"/>
      </rPr>
      <t>2</t>
    </r>
    <r>
      <rPr>
        <sz val="5"/>
        <color rgb="FF000000"/>
        <rFont val="Times New Roman"/>
        <family val="1"/>
      </rPr>
      <t xml:space="preserve"> </t>
    </r>
    <r>
      <rPr>
        <sz val="5"/>
        <color rgb="FF000000"/>
        <rFont val="Times New Roman"/>
        <family val="1"/>
      </rPr>
      <t xml:space="preserve"> </t>
    </r>
    <r>
      <rPr>
        <sz val="8"/>
        <color rgb="FF000000"/>
        <rFont val="Times New Roman"/>
        <family val="1"/>
      </rPr>
      <t>(un</t>
    </r>
    <r>
      <rPr>
        <sz val="8"/>
        <color rgb="FF000000"/>
        <rFont val="Times New Roman"/>
        <family val="1"/>
      </rPr>
      <t xml:space="preserve"> </t>
    </r>
    <r>
      <rPr>
        <sz val="8"/>
        <color rgb="FF000000"/>
        <rFont val="Times New Roman"/>
        <family val="1"/>
      </rPr>
      <t>extintor</t>
    </r>
    <r>
      <rPr>
        <sz val="8"/>
        <color rgb="FF000000"/>
        <rFont val="Times New Roman"/>
        <family val="1"/>
      </rPr>
      <t xml:space="preserve"> </t>
    </r>
    <r>
      <rPr>
        <sz val="8"/>
        <color rgb="FF000000"/>
        <rFont val="Times New Roman"/>
        <family val="1"/>
      </rPr>
      <t>más</t>
    </r>
    <r>
      <rPr>
        <sz val="8"/>
        <color rgb="FF000000"/>
        <rFont val="Times New Roman"/>
        <family val="1"/>
      </rPr>
      <t xml:space="preserve"> </t>
    </r>
    <r>
      <rPr>
        <sz val="8"/>
        <color rgb="FF000000"/>
        <rFont val="Times New Roman"/>
        <family val="1"/>
      </rPr>
      <t xml:space="preserve"> </t>
    </r>
    <r>
      <rPr>
        <sz val="8"/>
        <color rgb="FF000000"/>
        <rFont val="Times New Roman"/>
        <family val="1"/>
      </rPr>
      <t>por</t>
    </r>
    <r>
      <rPr>
        <sz val="8"/>
        <color rgb="FF000000"/>
        <rFont val="Times New Roman"/>
        <family val="1"/>
      </rPr>
      <t xml:space="preserve"> </t>
    </r>
    <r>
      <rPr>
        <sz val="8"/>
        <color rgb="FF000000"/>
        <rFont val="Times New Roman"/>
        <family val="1"/>
      </rPr>
      <t>cada</t>
    </r>
    <r>
      <rPr>
        <sz val="8"/>
        <color rgb="FF000000"/>
        <rFont val="Times New Roman"/>
        <family val="1"/>
      </rPr>
      <t xml:space="preserve"> </t>
    </r>
    <r>
      <rPr>
        <sz val="8"/>
        <color rgb="FF000000"/>
        <rFont val="Times New Roman"/>
        <family val="1"/>
      </rPr>
      <t>200</t>
    </r>
    <r>
      <rPr>
        <sz val="8"/>
        <color rgb="FF000000"/>
        <rFont val="Times New Roman"/>
        <family val="1"/>
      </rPr>
      <t xml:space="preserve"> </t>
    </r>
    <r>
      <rPr>
        <sz val="8"/>
        <color rgb="FF000000"/>
        <rFont val="Times New Roman"/>
        <family val="1"/>
      </rPr>
      <t>m</t>
    </r>
    <r>
      <rPr>
        <sz val="5"/>
        <color rgb="FF000000"/>
        <rFont val="Times New Roman"/>
        <family val="1"/>
      </rPr>
      <t>2</t>
    </r>
    <r>
      <rPr>
        <sz val="8"/>
        <color rgb="FF000000"/>
        <rFont val="Times New Roman"/>
        <family val="1"/>
      </rPr>
      <t>,</t>
    </r>
    <r>
      <rPr>
        <sz val="8"/>
        <color rgb="FF000000"/>
        <rFont val="Times New Roman"/>
        <family val="1"/>
      </rPr>
      <t xml:space="preserve"> </t>
    </r>
    <r>
      <rPr>
        <sz val="8"/>
        <color rgb="FF000000"/>
        <rFont val="Times New Roman"/>
        <family val="1"/>
      </rPr>
      <t>o</t>
    </r>
    <r>
      <rPr>
        <sz val="8"/>
        <color rgb="FF000000"/>
        <rFont val="Times New Roman"/>
        <family val="1"/>
      </rPr>
      <t xml:space="preserve"> </t>
    </r>
    <r>
      <rPr>
        <sz val="8"/>
        <color rgb="FF000000"/>
        <rFont val="Times New Roman"/>
        <family val="1"/>
      </rPr>
      <t>fracción,</t>
    </r>
    <r>
      <rPr>
        <sz val="8"/>
        <color rgb="FF000000"/>
        <rFont val="Times New Roman"/>
        <family val="1"/>
      </rPr>
      <t xml:space="preserve"> </t>
    </r>
    <r>
      <rPr>
        <sz val="8"/>
        <color rgb="FF000000"/>
        <rFont val="Times New Roman"/>
        <family val="1"/>
      </rPr>
      <t xml:space="preserve"> </t>
    </r>
    <r>
      <rPr>
        <sz val="8"/>
        <color rgb="FF000000"/>
        <rFont val="Times New Roman"/>
        <family val="1"/>
      </rPr>
      <t>en</t>
    </r>
    <r>
      <rPr>
        <sz val="8"/>
        <color rgb="FF000000"/>
        <rFont val="Times New Roman"/>
        <family val="1"/>
      </rPr>
      <t xml:space="preserve"> </t>
    </r>
    <r>
      <rPr>
        <sz val="8"/>
        <color rgb="FF000000"/>
        <rFont val="Times New Roman"/>
        <family val="1"/>
      </rPr>
      <t>exceso).</t>
    </r>
  </si>
  <si>
    <t>Cuando en el sector de incendio coexistan combustibles de la clase A y de la clase B, se considerará que la clase de fuego del sector de incendio es A o B cuando la carga de fuego aportada por los combustibles de clase A o de clase B, respectivamente, sea, al menos, el 90 por ciento de la carga de fuego del sector. En otro caso, la clase de fuego del sector de incendio se considerará A-B.Si la clase de fuego del sector de incendio es A o B, se determinará la dotación de extintores del sector de incendio de acuerdo con la tabla 3.4.1 o con la tabla 3.4.2, respectivamente.Si la clase de fuego del sector de incendio es A-B, se determinará la dotación de extintores del sector de incendio sumando los necesarios para cada clase de fuego (A y B), evaluados independientemente según la tabla 3.4.1 y la tabla 3.4.2 respectivamente.Cuando en el sector de incendio existan combustibles de clase C que puedan aportar una carga de fuego que sea, al menos, el 90 por ciento de la carga de fuego del sector, se determinará la dotación de extintores de acuerdo con la reglamentación sectorial específica que les afecte. En otro caso, no se incrementará la dotación de extintores si los necesarios por la presencia de otros combustibles (clase A o B) son aptos para fuegos de clase C.Cuando en el sector de incendio existan combustibles de clase D, se utilizarán agentes extintores de características específicas adecuadas a la naturaleza del combustible, que podrán proyectarse sobre el fuego con extintores, o medios manuales, de acuerdo con la situación y las recomendaciones particulares del fabricante del agente extintor.</t>
  </si>
  <si>
    <r>
      <rPr>
        <sz val="8"/>
        <color rgb="FF000000"/>
        <rFont val="Times New Roman"/>
        <family val="1"/>
      </rPr>
      <t>Hasta</t>
    </r>
    <r>
      <rPr>
        <sz val="8"/>
        <color rgb="FF000000"/>
        <rFont val="Times New Roman"/>
        <family val="1"/>
      </rPr>
      <t xml:space="preserve"> </t>
    </r>
    <r>
      <rPr>
        <sz val="8"/>
        <color rgb="FF000000"/>
        <rFont val="Times New Roman"/>
        <family val="1"/>
      </rPr>
      <t>300</t>
    </r>
    <r>
      <rPr>
        <sz val="8"/>
        <color rgb="FF000000"/>
        <rFont val="Times New Roman"/>
        <family val="1"/>
      </rPr>
      <t xml:space="preserve"> </t>
    </r>
    <r>
      <rPr>
        <sz val="8"/>
        <color rgb="FF000000"/>
        <rFont val="Times New Roman"/>
        <family val="1"/>
      </rPr>
      <t>m</t>
    </r>
    <r>
      <rPr>
        <sz val="5"/>
        <color rgb="FF000000"/>
        <rFont val="Times New Roman"/>
        <family val="1"/>
      </rPr>
      <t>2</t>
    </r>
    <r>
      <rPr>
        <sz val="5"/>
        <color rgb="FF000000"/>
        <rFont val="Times New Roman"/>
        <family val="1"/>
      </rPr>
      <t xml:space="preserve"> </t>
    </r>
    <r>
      <rPr>
        <sz val="5"/>
        <color rgb="FF000000"/>
        <rFont val="Times New Roman"/>
        <family val="1"/>
      </rPr>
      <t xml:space="preserve"> </t>
    </r>
    <r>
      <rPr>
        <sz val="8"/>
        <color rgb="FF000000"/>
        <rFont val="Times New Roman"/>
        <family val="1"/>
      </rPr>
      <t>(un</t>
    </r>
    <r>
      <rPr>
        <sz val="8"/>
        <color rgb="FF000000"/>
        <rFont val="Times New Roman"/>
        <family val="1"/>
      </rPr>
      <t xml:space="preserve"> </t>
    </r>
    <r>
      <rPr>
        <sz val="8"/>
        <color rgb="FF000000"/>
        <rFont val="Times New Roman"/>
        <family val="1"/>
      </rPr>
      <t>extintor</t>
    </r>
    <r>
      <rPr>
        <sz val="8"/>
        <color rgb="FF000000"/>
        <rFont val="Times New Roman"/>
        <family val="1"/>
      </rPr>
      <t xml:space="preserve"> </t>
    </r>
    <r>
      <rPr>
        <sz val="8"/>
        <color rgb="FF000000"/>
        <rFont val="Times New Roman"/>
        <family val="1"/>
      </rPr>
      <t>más</t>
    </r>
    <r>
      <rPr>
        <sz val="8"/>
        <color rgb="FF000000"/>
        <rFont val="Times New Roman"/>
        <family val="1"/>
      </rPr>
      <t xml:space="preserve"> </t>
    </r>
    <r>
      <rPr>
        <sz val="8"/>
        <color rgb="FF000000"/>
        <rFont val="Times New Roman"/>
        <family val="1"/>
      </rPr>
      <t xml:space="preserve"> </t>
    </r>
    <r>
      <rPr>
        <sz val="8"/>
        <color rgb="FF000000"/>
        <rFont val="Times New Roman"/>
        <family val="1"/>
      </rPr>
      <t>por</t>
    </r>
    <r>
      <rPr>
        <sz val="8"/>
        <color rgb="FF000000"/>
        <rFont val="Times New Roman"/>
        <family val="1"/>
      </rPr>
      <t xml:space="preserve"> </t>
    </r>
    <r>
      <rPr>
        <sz val="8"/>
        <color rgb="FF000000"/>
        <rFont val="Times New Roman"/>
        <family val="1"/>
      </rPr>
      <t>cada</t>
    </r>
    <r>
      <rPr>
        <sz val="8"/>
        <color rgb="FF000000"/>
        <rFont val="Times New Roman"/>
        <family val="1"/>
      </rPr>
      <t xml:space="preserve"> </t>
    </r>
    <r>
      <rPr>
        <sz val="8"/>
        <color rgb="FF000000"/>
        <rFont val="Times New Roman"/>
        <family val="1"/>
      </rPr>
      <t>200</t>
    </r>
    <r>
      <rPr>
        <sz val="8"/>
        <color rgb="FF000000"/>
        <rFont val="Times New Roman"/>
        <family val="1"/>
      </rPr>
      <t xml:space="preserve"> </t>
    </r>
    <r>
      <rPr>
        <sz val="8"/>
        <color rgb="FF000000"/>
        <rFont val="Times New Roman"/>
        <family val="1"/>
      </rPr>
      <t>m</t>
    </r>
    <r>
      <rPr>
        <sz val="5"/>
        <color rgb="FF000000"/>
        <rFont val="Times New Roman"/>
        <family val="1"/>
      </rPr>
      <t>2</t>
    </r>
    <r>
      <rPr>
        <sz val="8"/>
        <color rgb="FF000000"/>
        <rFont val="Times New Roman"/>
        <family val="1"/>
      </rPr>
      <t>,</t>
    </r>
    <r>
      <rPr>
        <sz val="8"/>
        <color rgb="FF000000"/>
        <rFont val="Times New Roman"/>
        <family val="1"/>
      </rPr>
      <t xml:space="preserve"> </t>
    </r>
    <r>
      <rPr>
        <sz val="8"/>
        <color rgb="FF000000"/>
        <rFont val="Times New Roman"/>
        <family val="1"/>
      </rPr>
      <t>o</t>
    </r>
    <r>
      <rPr>
        <sz val="8"/>
        <color rgb="FF000000"/>
        <rFont val="Times New Roman"/>
        <family val="1"/>
      </rPr>
      <t xml:space="preserve"> </t>
    </r>
    <r>
      <rPr>
        <sz val="8"/>
        <color rgb="FF000000"/>
        <rFont val="Times New Roman"/>
        <family val="1"/>
      </rPr>
      <t>fracción,</t>
    </r>
    <r>
      <rPr>
        <sz val="8"/>
        <color rgb="FF000000"/>
        <rFont val="Times New Roman"/>
        <family val="1"/>
      </rPr>
      <t xml:space="preserve"> </t>
    </r>
    <r>
      <rPr>
        <sz val="8"/>
        <color rgb="FF000000"/>
        <rFont val="Times New Roman"/>
        <family val="1"/>
      </rPr>
      <t xml:space="preserve"> </t>
    </r>
    <r>
      <rPr>
        <sz val="8"/>
        <color rgb="FF000000"/>
        <rFont val="Times New Roman"/>
        <family val="1"/>
      </rPr>
      <t>en</t>
    </r>
    <r>
      <rPr>
        <sz val="8"/>
        <color rgb="FF000000"/>
        <rFont val="Times New Roman"/>
        <family val="1"/>
      </rPr>
      <t xml:space="preserve"> </t>
    </r>
    <r>
      <rPr>
        <sz val="8"/>
        <color rgb="FF000000"/>
        <rFont val="Times New Roman"/>
        <family val="1"/>
      </rPr>
      <t>exceso).</t>
    </r>
  </si>
  <si>
    <r>
      <rPr>
        <sz val="8"/>
        <color rgb="FF000000"/>
        <rFont val="Times New Roman"/>
        <family val="1"/>
      </rPr>
      <t>Hasta</t>
    </r>
    <r>
      <rPr>
        <sz val="8"/>
        <color rgb="FF000000"/>
        <rFont val="Times New Roman"/>
        <family val="1"/>
      </rPr>
      <t xml:space="preserve"> </t>
    </r>
    <r>
      <rPr>
        <sz val="8"/>
        <color rgb="FF000000"/>
        <rFont val="Times New Roman"/>
        <family val="1"/>
      </rPr>
      <t>300</t>
    </r>
    <r>
      <rPr>
        <sz val="8"/>
        <color rgb="FF000000"/>
        <rFont val="Times New Roman"/>
        <family val="1"/>
      </rPr>
      <t xml:space="preserve"> </t>
    </r>
    <r>
      <rPr>
        <sz val="8"/>
        <color rgb="FF000000"/>
        <rFont val="Times New Roman"/>
        <family val="1"/>
      </rPr>
      <t>m</t>
    </r>
    <r>
      <rPr>
        <sz val="5"/>
        <color rgb="FF000000"/>
        <rFont val="Times New Roman"/>
        <family val="1"/>
      </rPr>
      <t>2</t>
    </r>
    <r>
      <rPr>
        <sz val="5"/>
        <color rgb="FF000000"/>
        <rFont val="Times New Roman"/>
        <family val="1"/>
      </rPr>
      <t xml:space="preserve"> </t>
    </r>
    <r>
      <rPr>
        <sz val="5"/>
        <color rgb="FF000000"/>
        <rFont val="Times New Roman"/>
        <family val="1"/>
      </rPr>
      <t xml:space="preserve"> </t>
    </r>
    <r>
      <rPr>
        <sz val="8"/>
        <color rgb="FF000000"/>
        <rFont val="Times New Roman"/>
        <family val="1"/>
      </rPr>
      <t>(un</t>
    </r>
    <r>
      <rPr>
        <sz val="8"/>
        <color rgb="FF000000"/>
        <rFont val="Times New Roman"/>
        <family val="1"/>
      </rPr>
      <t xml:space="preserve"> </t>
    </r>
    <r>
      <rPr>
        <sz val="8"/>
        <color rgb="FF000000"/>
        <rFont val="Times New Roman"/>
        <family val="1"/>
      </rPr>
      <t>extintor</t>
    </r>
    <r>
      <rPr>
        <sz val="8"/>
        <color rgb="FF000000"/>
        <rFont val="Times New Roman"/>
        <family val="1"/>
      </rPr>
      <t xml:space="preserve"> </t>
    </r>
    <r>
      <rPr>
        <sz val="8"/>
        <color rgb="FF000000"/>
        <rFont val="Times New Roman"/>
        <family val="1"/>
      </rPr>
      <t>más</t>
    </r>
    <r>
      <rPr>
        <sz val="8"/>
        <color rgb="FF000000"/>
        <rFont val="Times New Roman"/>
        <family val="1"/>
      </rPr>
      <t xml:space="preserve"> </t>
    </r>
    <r>
      <rPr>
        <sz val="8"/>
        <color rgb="FF000000"/>
        <rFont val="Times New Roman"/>
        <family val="1"/>
      </rPr>
      <t xml:space="preserve"> </t>
    </r>
    <r>
      <rPr>
        <sz val="8"/>
        <color rgb="FF000000"/>
        <rFont val="Times New Roman"/>
        <family val="1"/>
      </rPr>
      <t>por</t>
    </r>
    <r>
      <rPr>
        <sz val="8"/>
        <color rgb="FF000000"/>
        <rFont val="Times New Roman"/>
        <family val="1"/>
      </rPr>
      <t xml:space="preserve"> </t>
    </r>
    <r>
      <rPr>
        <sz val="8"/>
        <color rgb="FF000000"/>
        <rFont val="Times New Roman"/>
        <family val="1"/>
      </rPr>
      <t>cada</t>
    </r>
    <r>
      <rPr>
        <sz val="8"/>
        <color rgb="FF000000"/>
        <rFont val="Times New Roman"/>
        <family val="1"/>
      </rPr>
      <t xml:space="preserve"> </t>
    </r>
    <r>
      <rPr>
        <sz val="8"/>
        <color rgb="FF000000"/>
        <rFont val="Times New Roman"/>
        <family val="1"/>
      </rPr>
      <t>200</t>
    </r>
    <r>
      <rPr>
        <sz val="8"/>
        <color rgb="FF000000"/>
        <rFont val="Times New Roman"/>
        <family val="1"/>
      </rPr>
      <t xml:space="preserve"> </t>
    </r>
    <r>
      <rPr>
        <sz val="8"/>
        <color rgb="FF000000"/>
        <rFont val="Times New Roman"/>
        <family val="1"/>
      </rPr>
      <t>m</t>
    </r>
    <r>
      <rPr>
        <sz val="5"/>
        <color rgb="FF000000"/>
        <rFont val="Times New Roman"/>
        <family val="1"/>
      </rPr>
      <t>2</t>
    </r>
    <r>
      <rPr>
        <sz val="8"/>
        <color rgb="FF000000"/>
        <rFont val="Times New Roman"/>
        <family val="1"/>
      </rPr>
      <t>,</t>
    </r>
    <r>
      <rPr>
        <sz val="8"/>
        <color rgb="FF000000"/>
        <rFont val="Times New Roman"/>
        <family val="1"/>
      </rPr>
      <t xml:space="preserve"> </t>
    </r>
    <r>
      <rPr>
        <sz val="8"/>
        <color rgb="FF000000"/>
        <rFont val="Times New Roman"/>
        <family val="1"/>
      </rPr>
      <t>o</t>
    </r>
    <r>
      <rPr>
        <sz val="8"/>
        <color rgb="FF000000"/>
        <rFont val="Times New Roman"/>
        <family val="1"/>
      </rPr>
      <t xml:space="preserve"> </t>
    </r>
    <r>
      <rPr>
        <sz val="8"/>
        <color rgb="FF000000"/>
        <rFont val="Times New Roman"/>
        <family val="1"/>
      </rPr>
      <t>fracción,</t>
    </r>
    <r>
      <rPr>
        <sz val="8"/>
        <color rgb="FF000000"/>
        <rFont val="Times New Roman"/>
        <family val="1"/>
      </rPr>
      <t xml:space="preserve"> </t>
    </r>
    <r>
      <rPr>
        <sz val="8"/>
        <color rgb="FF000000"/>
        <rFont val="Times New Roman"/>
        <family val="1"/>
      </rPr>
      <t xml:space="preserve"> </t>
    </r>
    <r>
      <rPr>
        <sz val="8"/>
        <color rgb="FF000000"/>
        <rFont val="Times New Roman"/>
        <family val="1"/>
      </rPr>
      <t>en</t>
    </r>
    <r>
      <rPr>
        <sz val="8"/>
        <color rgb="FF000000"/>
        <rFont val="Times New Roman"/>
        <family val="1"/>
      </rPr>
      <t xml:space="preserve"> </t>
    </r>
    <r>
      <rPr>
        <sz val="8"/>
        <color rgb="FF000000"/>
        <rFont val="Times New Roman"/>
        <family val="1"/>
      </rPr>
      <t>exceso).</t>
    </r>
  </si>
  <si>
    <t>(S-600)/200 +1</t>
  </si>
  <si>
    <r>
      <rPr>
        <sz val="8"/>
        <color rgb="FF000000"/>
        <rFont val="Times New Roman"/>
        <family val="1"/>
      </rPr>
      <t>Hasta</t>
    </r>
    <r>
      <rPr>
        <sz val="8"/>
        <color rgb="FF000000"/>
        <rFont val="Times New Roman"/>
        <family val="1"/>
      </rPr>
      <t xml:space="preserve"> </t>
    </r>
    <r>
      <rPr>
        <sz val="8"/>
        <color rgb="FF000000"/>
        <rFont val="Times New Roman"/>
        <family val="1"/>
      </rPr>
      <t>600</t>
    </r>
    <r>
      <rPr>
        <sz val="8"/>
        <color rgb="FF000000"/>
        <rFont val="Times New Roman"/>
        <family val="1"/>
      </rPr>
      <t xml:space="preserve"> </t>
    </r>
    <r>
      <rPr>
        <sz val="8"/>
        <color rgb="FF000000"/>
        <rFont val="Times New Roman"/>
        <family val="1"/>
      </rPr>
      <t>m</t>
    </r>
    <r>
      <rPr>
        <sz val="5"/>
        <color rgb="FF000000"/>
        <rFont val="Times New Roman"/>
        <family val="1"/>
      </rPr>
      <t>2</t>
    </r>
    <r>
      <rPr>
        <sz val="5"/>
        <color rgb="FF000000"/>
        <rFont val="Times New Roman"/>
        <family val="1"/>
      </rPr>
      <t xml:space="preserve"> </t>
    </r>
    <r>
      <rPr>
        <sz val="5"/>
        <color rgb="FF000000"/>
        <rFont val="Times New Roman"/>
        <family val="1"/>
      </rPr>
      <t xml:space="preserve"> </t>
    </r>
    <r>
      <rPr>
        <sz val="8"/>
        <color rgb="FF000000"/>
        <rFont val="Times New Roman"/>
        <family val="1"/>
      </rPr>
      <t>(un</t>
    </r>
    <r>
      <rPr>
        <sz val="8"/>
        <color rgb="FF000000"/>
        <rFont val="Times New Roman"/>
        <family val="1"/>
      </rPr>
      <t xml:space="preserve"> </t>
    </r>
    <r>
      <rPr>
        <sz val="8"/>
        <color rgb="FF000000"/>
        <rFont val="Times New Roman"/>
        <family val="1"/>
      </rPr>
      <t>extintor</t>
    </r>
    <r>
      <rPr>
        <sz val="8"/>
        <color rgb="FF000000"/>
        <rFont val="Times New Roman"/>
        <family val="1"/>
      </rPr>
      <t xml:space="preserve"> </t>
    </r>
    <r>
      <rPr>
        <sz val="8"/>
        <color rgb="FF000000"/>
        <rFont val="Times New Roman"/>
        <family val="1"/>
      </rPr>
      <t>más</t>
    </r>
    <r>
      <rPr>
        <sz val="8"/>
        <color rgb="FF000000"/>
        <rFont val="Times New Roman"/>
        <family val="1"/>
      </rPr>
      <t xml:space="preserve"> </t>
    </r>
    <r>
      <rPr>
        <sz val="8"/>
        <color rgb="FF000000"/>
        <rFont val="Times New Roman"/>
        <family val="1"/>
      </rPr>
      <t xml:space="preserve"> </t>
    </r>
    <r>
      <rPr>
        <sz val="8"/>
        <color rgb="FF000000"/>
        <rFont val="Times New Roman"/>
        <family val="1"/>
      </rPr>
      <t>por</t>
    </r>
    <r>
      <rPr>
        <sz val="8"/>
        <color rgb="FF000000"/>
        <rFont val="Times New Roman"/>
        <family val="1"/>
      </rPr>
      <t xml:space="preserve"> </t>
    </r>
    <r>
      <rPr>
        <sz val="8"/>
        <color rgb="FF000000"/>
        <rFont val="Times New Roman"/>
        <family val="1"/>
      </rPr>
      <t>cada</t>
    </r>
    <r>
      <rPr>
        <sz val="8"/>
        <color rgb="FF000000"/>
        <rFont val="Times New Roman"/>
        <family val="1"/>
      </rPr>
      <t xml:space="preserve"> </t>
    </r>
    <r>
      <rPr>
        <sz val="8"/>
        <color rgb="FF000000"/>
        <rFont val="Times New Roman"/>
        <family val="1"/>
      </rPr>
      <t>200</t>
    </r>
    <r>
      <rPr>
        <sz val="8"/>
        <color rgb="FF000000"/>
        <rFont val="Times New Roman"/>
        <family val="1"/>
      </rPr>
      <t xml:space="preserve"> </t>
    </r>
    <r>
      <rPr>
        <sz val="8"/>
        <color rgb="FF000000"/>
        <rFont val="Times New Roman"/>
        <family val="1"/>
      </rPr>
      <t>m</t>
    </r>
    <r>
      <rPr>
        <sz val="5"/>
        <color rgb="FF000000"/>
        <rFont val="Times New Roman"/>
        <family val="1"/>
      </rPr>
      <t>2</t>
    </r>
    <r>
      <rPr>
        <sz val="8"/>
        <color rgb="FF000000"/>
        <rFont val="Times New Roman"/>
        <family val="1"/>
      </rPr>
      <t>,</t>
    </r>
    <r>
      <rPr>
        <sz val="8"/>
        <color rgb="FF000000"/>
        <rFont val="Times New Roman"/>
        <family val="1"/>
      </rPr>
      <t xml:space="preserve"> </t>
    </r>
    <r>
      <rPr>
        <sz val="8"/>
        <color rgb="FF000000"/>
        <rFont val="Times New Roman"/>
        <family val="1"/>
      </rPr>
      <t>o</t>
    </r>
    <r>
      <rPr>
        <sz val="8"/>
        <color rgb="FF000000"/>
        <rFont val="Times New Roman"/>
        <family val="1"/>
      </rPr>
      <t xml:space="preserve"> </t>
    </r>
    <r>
      <rPr>
        <sz val="8"/>
        <color rgb="FF000000"/>
        <rFont val="Times New Roman"/>
        <family val="1"/>
      </rPr>
      <t>fracción,</t>
    </r>
    <r>
      <rPr>
        <sz val="8"/>
        <color rgb="FF000000"/>
        <rFont val="Times New Roman"/>
        <family val="1"/>
      </rPr>
      <t xml:space="preserve"> </t>
    </r>
    <r>
      <rPr>
        <sz val="8"/>
        <color rgb="FF000000"/>
        <rFont val="Times New Roman"/>
        <family val="1"/>
      </rPr>
      <t xml:space="preserve"> </t>
    </r>
    <r>
      <rPr>
        <sz val="8"/>
        <color rgb="FF000000"/>
        <rFont val="Times New Roman"/>
        <family val="1"/>
      </rPr>
      <t>en</t>
    </r>
    <r>
      <rPr>
        <sz val="8"/>
        <color rgb="FF000000"/>
        <rFont val="Times New Roman"/>
        <family val="1"/>
      </rPr>
      <t xml:space="preserve"> </t>
    </r>
    <r>
      <rPr>
        <sz val="8"/>
        <color rgb="FF000000"/>
        <rFont val="Times New Roman"/>
        <family val="1"/>
      </rPr>
      <t>exceso).</t>
    </r>
  </si>
  <si>
    <r>
      <rPr>
        <sz val="8"/>
        <color rgb="FF000000"/>
        <rFont val="Times New Roman"/>
        <family val="1"/>
      </rPr>
      <t>Hasta</t>
    </r>
    <r>
      <rPr>
        <sz val="8"/>
        <color rgb="FF000000"/>
        <rFont val="Times New Roman"/>
        <family val="1"/>
      </rPr>
      <t xml:space="preserve"> </t>
    </r>
    <r>
      <rPr>
        <sz val="8"/>
        <color rgb="FF000000"/>
        <rFont val="Times New Roman"/>
        <family val="1"/>
      </rPr>
      <t>600</t>
    </r>
    <r>
      <rPr>
        <sz val="8"/>
        <color rgb="FF000000"/>
        <rFont val="Times New Roman"/>
        <family val="1"/>
      </rPr>
      <t xml:space="preserve"> </t>
    </r>
    <r>
      <rPr>
        <sz val="8"/>
        <color rgb="FF000000"/>
        <rFont val="Times New Roman"/>
        <family val="1"/>
      </rPr>
      <t>m</t>
    </r>
    <r>
      <rPr>
        <sz val="5"/>
        <color rgb="FF000000"/>
        <rFont val="Times New Roman"/>
        <family val="1"/>
      </rPr>
      <t>2</t>
    </r>
    <r>
      <rPr>
        <sz val="5"/>
        <color rgb="FF000000"/>
        <rFont val="Times New Roman"/>
        <family val="1"/>
      </rPr>
      <t xml:space="preserve"> </t>
    </r>
    <r>
      <rPr>
        <sz val="5"/>
        <color rgb="FF000000"/>
        <rFont val="Times New Roman"/>
        <family val="1"/>
      </rPr>
      <t xml:space="preserve"> </t>
    </r>
    <r>
      <rPr>
        <sz val="8"/>
        <color rgb="FF000000"/>
        <rFont val="Times New Roman"/>
        <family val="1"/>
      </rPr>
      <t>(un</t>
    </r>
    <r>
      <rPr>
        <sz val="8"/>
        <color rgb="FF000000"/>
        <rFont val="Times New Roman"/>
        <family val="1"/>
      </rPr>
      <t xml:space="preserve"> </t>
    </r>
    <r>
      <rPr>
        <sz val="8"/>
        <color rgb="FF000000"/>
        <rFont val="Times New Roman"/>
        <family val="1"/>
      </rPr>
      <t>extintor</t>
    </r>
    <r>
      <rPr>
        <sz val="8"/>
        <color rgb="FF000000"/>
        <rFont val="Times New Roman"/>
        <family val="1"/>
      </rPr>
      <t xml:space="preserve"> </t>
    </r>
    <r>
      <rPr>
        <sz val="8"/>
        <color rgb="FF000000"/>
        <rFont val="Times New Roman"/>
        <family val="1"/>
      </rPr>
      <t>más</t>
    </r>
    <r>
      <rPr>
        <sz val="8"/>
        <color rgb="FF000000"/>
        <rFont val="Times New Roman"/>
        <family val="1"/>
      </rPr>
      <t xml:space="preserve"> </t>
    </r>
    <r>
      <rPr>
        <sz val="8"/>
        <color rgb="FF000000"/>
        <rFont val="Times New Roman"/>
        <family val="1"/>
      </rPr>
      <t xml:space="preserve"> </t>
    </r>
    <r>
      <rPr>
        <sz val="8"/>
        <color rgb="FF000000"/>
        <rFont val="Times New Roman"/>
        <family val="1"/>
      </rPr>
      <t>por</t>
    </r>
    <r>
      <rPr>
        <sz val="8"/>
        <color rgb="FF000000"/>
        <rFont val="Times New Roman"/>
        <family val="1"/>
      </rPr>
      <t xml:space="preserve"> </t>
    </r>
    <r>
      <rPr>
        <sz val="8"/>
        <color rgb="FF000000"/>
        <rFont val="Times New Roman"/>
        <family val="1"/>
      </rPr>
      <t>cada</t>
    </r>
    <r>
      <rPr>
        <sz val="8"/>
        <color rgb="FF000000"/>
        <rFont val="Times New Roman"/>
        <family val="1"/>
      </rPr>
      <t xml:space="preserve"> </t>
    </r>
    <r>
      <rPr>
        <sz val="8"/>
        <color rgb="FF000000"/>
        <rFont val="Times New Roman"/>
        <family val="1"/>
      </rPr>
      <t>200</t>
    </r>
    <r>
      <rPr>
        <sz val="8"/>
        <color rgb="FF000000"/>
        <rFont val="Times New Roman"/>
        <family val="1"/>
      </rPr>
      <t xml:space="preserve"> </t>
    </r>
    <r>
      <rPr>
        <sz val="8"/>
        <color rgb="FF000000"/>
        <rFont val="Times New Roman"/>
        <family val="1"/>
      </rPr>
      <t>m</t>
    </r>
    <r>
      <rPr>
        <sz val="5"/>
        <color rgb="FF000000"/>
        <rFont val="Times New Roman"/>
        <family val="1"/>
      </rPr>
      <t>2</t>
    </r>
    <r>
      <rPr>
        <sz val="8"/>
        <color rgb="FF000000"/>
        <rFont val="Times New Roman"/>
        <family val="1"/>
      </rPr>
      <t>,</t>
    </r>
    <r>
      <rPr>
        <sz val="8"/>
        <color rgb="FF000000"/>
        <rFont val="Times New Roman"/>
        <family val="1"/>
      </rPr>
      <t xml:space="preserve"> </t>
    </r>
    <r>
      <rPr>
        <sz val="8"/>
        <color rgb="FF000000"/>
        <rFont val="Times New Roman"/>
        <family val="1"/>
      </rPr>
      <t>o</t>
    </r>
    <r>
      <rPr>
        <sz val="8"/>
        <color rgb="FF000000"/>
        <rFont val="Times New Roman"/>
        <family val="1"/>
      </rPr>
      <t xml:space="preserve"> </t>
    </r>
    <r>
      <rPr>
        <sz val="8"/>
        <color rgb="FF000000"/>
        <rFont val="Times New Roman"/>
        <family val="1"/>
      </rPr>
      <t>fracción,</t>
    </r>
    <r>
      <rPr>
        <sz val="8"/>
        <color rgb="FF000000"/>
        <rFont val="Times New Roman"/>
        <family val="1"/>
      </rPr>
      <t xml:space="preserve"> </t>
    </r>
    <r>
      <rPr>
        <sz val="8"/>
        <color rgb="FF000000"/>
        <rFont val="Times New Roman"/>
        <family val="1"/>
      </rPr>
      <t xml:space="preserve"> </t>
    </r>
    <r>
      <rPr>
        <sz val="8"/>
        <color rgb="FF000000"/>
        <rFont val="Times New Roman"/>
        <family val="1"/>
      </rPr>
      <t>en</t>
    </r>
    <r>
      <rPr>
        <sz val="8"/>
        <color rgb="FF000000"/>
        <rFont val="Times New Roman"/>
        <family val="1"/>
      </rPr>
      <t xml:space="preserve"> </t>
    </r>
    <r>
      <rPr>
        <sz val="8"/>
        <color rgb="FF000000"/>
        <rFont val="Times New Roman"/>
        <family val="1"/>
      </rPr>
      <t>exceso).</t>
    </r>
  </si>
  <si>
    <t>(S-400)/200 +1</t>
  </si>
  <si>
    <r>
      <rPr>
        <sz val="8"/>
        <color rgb="FF000000"/>
        <rFont val="Times New Roman"/>
        <family val="1"/>
      </rPr>
      <t>Hasta</t>
    </r>
    <r>
      <rPr>
        <sz val="8"/>
        <color rgb="FF000000"/>
        <rFont val="Times New Roman"/>
        <family val="1"/>
      </rPr>
      <t xml:space="preserve"> </t>
    </r>
    <r>
      <rPr>
        <sz val="8"/>
        <color rgb="FF000000"/>
        <rFont val="Times New Roman"/>
        <family val="1"/>
      </rPr>
      <t>400</t>
    </r>
    <r>
      <rPr>
        <sz val="8"/>
        <color rgb="FF000000"/>
        <rFont val="Times New Roman"/>
        <family val="1"/>
      </rPr>
      <t xml:space="preserve"> </t>
    </r>
    <r>
      <rPr>
        <sz val="8"/>
        <color rgb="FF000000"/>
        <rFont val="Times New Roman"/>
        <family val="1"/>
      </rPr>
      <t>m</t>
    </r>
    <r>
      <rPr>
        <sz val="5"/>
        <color rgb="FF000000"/>
        <rFont val="Times New Roman"/>
        <family val="1"/>
      </rPr>
      <t>2</t>
    </r>
    <r>
      <rPr>
        <sz val="5"/>
        <color rgb="FF000000"/>
        <rFont val="Times New Roman"/>
        <family val="1"/>
      </rPr>
      <t xml:space="preserve"> </t>
    </r>
    <r>
      <rPr>
        <sz val="5"/>
        <color rgb="FF000000"/>
        <rFont val="Times New Roman"/>
        <family val="1"/>
      </rPr>
      <t xml:space="preserve"> </t>
    </r>
    <r>
      <rPr>
        <sz val="8"/>
        <color rgb="FF000000"/>
        <rFont val="Times New Roman"/>
        <family val="1"/>
      </rPr>
      <t>(un</t>
    </r>
    <r>
      <rPr>
        <sz val="8"/>
        <color rgb="FF000000"/>
        <rFont val="Times New Roman"/>
        <family val="1"/>
      </rPr>
      <t xml:space="preserve"> </t>
    </r>
    <r>
      <rPr>
        <sz val="8"/>
        <color rgb="FF000000"/>
        <rFont val="Times New Roman"/>
        <family val="1"/>
      </rPr>
      <t>extintor</t>
    </r>
    <r>
      <rPr>
        <sz val="8"/>
        <color rgb="FF000000"/>
        <rFont val="Times New Roman"/>
        <family val="1"/>
      </rPr>
      <t xml:space="preserve"> </t>
    </r>
    <r>
      <rPr>
        <sz val="8"/>
        <color rgb="FF000000"/>
        <rFont val="Times New Roman"/>
        <family val="1"/>
      </rPr>
      <t>más</t>
    </r>
    <r>
      <rPr>
        <sz val="8"/>
        <color rgb="FF000000"/>
        <rFont val="Times New Roman"/>
        <family val="1"/>
      </rPr>
      <t xml:space="preserve"> </t>
    </r>
    <r>
      <rPr>
        <sz val="8"/>
        <color rgb="FF000000"/>
        <rFont val="Times New Roman"/>
        <family val="1"/>
      </rPr>
      <t xml:space="preserve"> </t>
    </r>
    <r>
      <rPr>
        <sz val="8"/>
        <color rgb="FF000000"/>
        <rFont val="Times New Roman"/>
        <family val="1"/>
      </rPr>
      <t>por</t>
    </r>
    <r>
      <rPr>
        <sz val="8"/>
        <color rgb="FF000000"/>
        <rFont val="Times New Roman"/>
        <family val="1"/>
      </rPr>
      <t xml:space="preserve"> </t>
    </r>
    <r>
      <rPr>
        <sz val="8"/>
        <color rgb="FF000000"/>
        <rFont val="Times New Roman"/>
        <family val="1"/>
      </rPr>
      <t>cada</t>
    </r>
    <r>
      <rPr>
        <sz val="8"/>
        <color rgb="FF000000"/>
        <rFont val="Times New Roman"/>
        <family val="1"/>
      </rPr>
      <t xml:space="preserve"> </t>
    </r>
    <r>
      <rPr>
        <sz val="8"/>
        <color rgb="FF000000"/>
        <rFont val="Times New Roman"/>
        <family val="1"/>
      </rPr>
      <t>200</t>
    </r>
    <r>
      <rPr>
        <sz val="8"/>
        <color rgb="FF000000"/>
        <rFont val="Times New Roman"/>
        <family val="1"/>
      </rPr>
      <t xml:space="preserve"> </t>
    </r>
    <r>
      <rPr>
        <sz val="8"/>
        <color rgb="FF000000"/>
        <rFont val="Times New Roman"/>
        <family val="1"/>
      </rPr>
      <t>m</t>
    </r>
    <r>
      <rPr>
        <sz val="5"/>
        <color rgb="FF000000"/>
        <rFont val="Times New Roman"/>
        <family val="1"/>
      </rPr>
      <t>2</t>
    </r>
    <r>
      <rPr>
        <sz val="8"/>
        <color rgb="FF000000"/>
        <rFont val="Times New Roman"/>
        <family val="1"/>
      </rPr>
      <t>,</t>
    </r>
    <r>
      <rPr>
        <sz val="8"/>
        <color rgb="FF000000"/>
        <rFont val="Times New Roman"/>
        <family val="1"/>
      </rPr>
      <t xml:space="preserve"> </t>
    </r>
    <r>
      <rPr>
        <sz val="8"/>
        <color rgb="FF000000"/>
        <rFont val="Times New Roman"/>
        <family val="1"/>
      </rPr>
      <t>o</t>
    </r>
    <r>
      <rPr>
        <sz val="8"/>
        <color rgb="FF000000"/>
        <rFont val="Times New Roman"/>
        <family val="1"/>
      </rPr>
      <t xml:space="preserve"> </t>
    </r>
    <r>
      <rPr>
        <sz val="8"/>
        <color rgb="FF000000"/>
        <rFont val="Times New Roman"/>
        <family val="1"/>
      </rPr>
      <t>fracción,</t>
    </r>
    <r>
      <rPr>
        <sz val="8"/>
        <color rgb="FF000000"/>
        <rFont val="Times New Roman"/>
        <family val="1"/>
      </rPr>
      <t xml:space="preserve"> </t>
    </r>
    <r>
      <rPr>
        <sz val="8"/>
        <color rgb="FF000000"/>
        <rFont val="Times New Roman"/>
        <family val="1"/>
      </rPr>
      <t xml:space="preserve"> </t>
    </r>
    <r>
      <rPr>
        <sz val="8"/>
        <color rgb="FF000000"/>
        <rFont val="Times New Roman"/>
        <family val="1"/>
      </rPr>
      <t>en</t>
    </r>
    <r>
      <rPr>
        <sz val="8"/>
        <color rgb="FF000000"/>
        <rFont val="Times New Roman"/>
        <family val="1"/>
      </rPr>
      <t xml:space="preserve"> </t>
    </r>
    <r>
      <rPr>
        <sz val="8"/>
        <color rgb="FF000000"/>
        <rFont val="Times New Roman"/>
        <family val="1"/>
      </rPr>
      <t>exceso).</t>
    </r>
  </si>
  <si>
    <r>
      <rPr>
        <sz val="8"/>
        <color rgb="FF000000"/>
        <rFont val="Times New Roman"/>
        <family val="1"/>
      </rPr>
      <t>Hasta</t>
    </r>
    <r>
      <rPr>
        <sz val="8"/>
        <color rgb="FF000000"/>
        <rFont val="Times New Roman"/>
        <family val="1"/>
      </rPr>
      <t xml:space="preserve"> </t>
    </r>
    <r>
      <rPr>
        <sz val="8"/>
        <color rgb="FF000000"/>
        <rFont val="Times New Roman"/>
        <family val="1"/>
      </rPr>
      <t>400</t>
    </r>
    <r>
      <rPr>
        <sz val="8"/>
        <color rgb="FF000000"/>
        <rFont val="Times New Roman"/>
        <family val="1"/>
      </rPr>
      <t xml:space="preserve"> </t>
    </r>
    <r>
      <rPr>
        <sz val="8"/>
        <color rgb="FF000000"/>
        <rFont val="Times New Roman"/>
        <family val="1"/>
      </rPr>
      <t>m</t>
    </r>
    <r>
      <rPr>
        <sz val="5"/>
        <color rgb="FF000000"/>
        <rFont val="Times New Roman"/>
        <family val="1"/>
      </rPr>
      <t>2</t>
    </r>
    <r>
      <rPr>
        <sz val="5"/>
        <color rgb="FF000000"/>
        <rFont val="Times New Roman"/>
        <family val="1"/>
      </rPr>
      <t xml:space="preserve"> </t>
    </r>
    <r>
      <rPr>
        <sz val="5"/>
        <color rgb="FF000000"/>
        <rFont val="Times New Roman"/>
        <family val="1"/>
      </rPr>
      <t xml:space="preserve"> </t>
    </r>
    <r>
      <rPr>
        <sz val="8"/>
        <color rgb="FF000000"/>
        <rFont val="Times New Roman"/>
        <family val="1"/>
      </rPr>
      <t>(un</t>
    </r>
    <r>
      <rPr>
        <sz val="8"/>
        <color rgb="FF000000"/>
        <rFont val="Times New Roman"/>
        <family val="1"/>
      </rPr>
      <t xml:space="preserve"> </t>
    </r>
    <r>
      <rPr>
        <sz val="8"/>
        <color rgb="FF000000"/>
        <rFont val="Times New Roman"/>
        <family val="1"/>
      </rPr>
      <t>extintor</t>
    </r>
    <r>
      <rPr>
        <sz val="8"/>
        <color rgb="FF000000"/>
        <rFont val="Times New Roman"/>
        <family val="1"/>
      </rPr>
      <t xml:space="preserve"> </t>
    </r>
    <r>
      <rPr>
        <sz val="8"/>
        <color rgb="FF000000"/>
        <rFont val="Times New Roman"/>
        <family val="1"/>
      </rPr>
      <t>más</t>
    </r>
    <r>
      <rPr>
        <sz val="8"/>
        <color rgb="FF000000"/>
        <rFont val="Times New Roman"/>
        <family val="1"/>
      </rPr>
      <t xml:space="preserve"> </t>
    </r>
    <r>
      <rPr>
        <sz val="8"/>
        <color rgb="FF000000"/>
        <rFont val="Times New Roman"/>
        <family val="1"/>
      </rPr>
      <t xml:space="preserve"> </t>
    </r>
    <r>
      <rPr>
        <sz val="8"/>
        <color rgb="FF000000"/>
        <rFont val="Times New Roman"/>
        <family val="1"/>
      </rPr>
      <t>por</t>
    </r>
    <r>
      <rPr>
        <sz val="8"/>
        <color rgb="FF000000"/>
        <rFont val="Times New Roman"/>
        <family val="1"/>
      </rPr>
      <t xml:space="preserve"> </t>
    </r>
    <r>
      <rPr>
        <sz val="8"/>
        <color rgb="FF000000"/>
        <rFont val="Times New Roman"/>
        <family val="1"/>
      </rPr>
      <t>cada</t>
    </r>
    <r>
      <rPr>
        <sz val="8"/>
        <color rgb="FF000000"/>
        <rFont val="Times New Roman"/>
        <family val="1"/>
      </rPr>
      <t xml:space="preserve"> </t>
    </r>
    <r>
      <rPr>
        <sz val="8"/>
        <color rgb="FF000000"/>
        <rFont val="Times New Roman"/>
        <family val="1"/>
      </rPr>
      <t>200</t>
    </r>
    <r>
      <rPr>
        <sz val="8"/>
        <color rgb="FF000000"/>
        <rFont val="Times New Roman"/>
        <family val="1"/>
      </rPr>
      <t xml:space="preserve"> </t>
    </r>
    <r>
      <rPr>
        <sz val="8"/>
        <color rgb="FF000000"/>
        <rFont val="Times New Roman"/>
        <family val="1"/>
      </rPr>
      <t>m</t>
    </r>
    <r>
      <rPr>
        <sz val="5"/>
        <color rgb="FF000000"/>
        <rFont val="Times New Roman"/>
        <family val="1"/>
      </rPr>
      <t>2</t>
    </r>
    <r>
      <rPr>
        <sz val="8"/>
        <color rgb="FF000000"/>
        <rFont val="Times New Roman"/>
        <family val="1"/>
      </rPr>
      <t>,</t>
    </r>
    <r>
      <rPr>
        <sz val="8"/>
        <color rgb="FF000000"/>
        <rFont val="Times New Roman"/>
        <family val="1"/>
      </rPr>
      <t xml:space="preserve"> </t>
    </r>
    <r>
      <rPr>
        <sz val="8"/>
        <color rgb="FF000000"/>
        <rFont val="Times New Roman"/>
        <family val="1"/>
      </rPr>
      <t>o</t>
    </r>
    <r>
      <rPr>
        <sz val="8"/>
        <color rgb="FF000000"/>
        <rFont val="Times New Roman"/>
        <family val="1"/>
      </rPr>
      <t xml:space="preserve"> </t>
    </r>
    <r>
      <rPr>
        <sz val="8"/>
        <color rgb="FF000000"/>
        <rFont val="Times New Roman"/>
        <family val="1"/>
      </rPr>
      <t>fracción,</t>
    </r>
    <r>
      <rPr>
        <sz val="8"/>
        <color rgb="FF000000"/>
        <rFont val="Times New Roman"/>
        <family val="1"/>
      </rPr>
      <t xml:space="preserve"> </t>
    </r>
    <r>
      <rPr>
        <sz val="8"/>
        <color rgb="FF000000"/>
        <rFont val="Times New Roman"/>
        <family val="1"/>
      </rPr>
      <t xml:space="preserve"> </t>
    </r>
    <r>
      <rPr>
        <sz val="8"/>
        <color rgb="FF000000"/>
        <rFont val="Times New Roman"/>
        <family val="1"/>
      </rPr>
      <t>en</t>
    </r>
    <r>
      <rPr>
        <sz val="8"/>
        <color rgb="FF000000"/>
        <rFont val="Times New Roman"/>
        <family val="1"/>
      </rPr>
      <t xml:space="preserve"> </t>
    </r>
    <r>
      <rPr>
        <sz val="8"/>
        <color rgb="FF000000"/>
        <rFont val="Times New Roman"/>
        <family val="1"/>
      </rPr>
      <t>exceso).</t>
    </r>
  </si>
  <si>
    <r>
      <rPr>
        <sz val="8"/>
        <color rgb="FF000000"/>
        <rFont val="Times New Roman"/>
        <family val="1"/>
      </rPr>
      <t>Hasta</t>
    </r>
    <r>
      <rPr>
        <sz val="8"/>
        <color rgb="FF000000"/>
        <rFont val="Times New Roman"/>
        <family val="1"/>
      </rPr>
      <t xml:space="preserve"> </t>
    </r>
    <r>
      <rPr>
        <sz val="8"/>
        <color rgb="FF000000"/>
        <rFont val="Times New Roman"/>
        <family val="1"/>
      </rPr>
      <t>400</t>
    </r>
    <r>
      <rPr>
        <sz val="8"/>
        <color rgb="FF000000"/>
        <rFont val="Times New Roman"/>
        <family val="1"/>
      </rPr>
      <t xml:space="preserve"> </t>
    </r>
    <r>
      <rPr>
        <sz val="8"/>
        <color rgb="FF000000"/>
        <rFont val="Times New Roman"/>
        <family val="1"/>
      </rPr>
      <t>m</t>
    </r>
    <r>
      <rPr>
        <sz val="5"/>
        <color rgb="FF000000"/>
        <rFont val="Times New Roman"/>
        <family val="1"/>
      </rPr>
      <t>2</t>
    </r>
    <r>
      <rPr>
        <sz val="5"/>
        <color rgb="FF000000"/>
        <rFont val="Times New Roman"/>
        <family val="1"/>
      </rPr>
      <t xml:space="preserve"> </t>
    </r>
    <r>
      <rPr>
        <sz val="5"/>
        <color rgb="FF000000"/>
        <rFont val="Times New Roman"/>
        <family val="1"/>
      </rPr>
      <t xml:space="preserve"> </t>
    </r>
    <r>
      <rPr>
        <sz val="8"/>
        <color rgb="FF000000"/>
        <rFont val="Times New Roman"/>
        <family val="1"/>
      </rPr>
      <t>(un</t>
    </r>
    <r>
      <rPr>
        <sz val="8"/>
        <color rgb="FF000000"/>
        <rFont val="Times New Roman"/>
        <family val="1"/>
      </rPr>
      <t xml:space="preserve"> </t>
    </r>
    <r>
      <rPr>
        <sz val="8"/>
        <color rgb="FF000000"/>
        <rFont val="Times New Roman"/>
        <family val="1"/>
      </rPr>
      <t>extintor</t>
    </r>
    <r>
      <rPr>
        <sz val="8"/>
        <color rgb="FF000000"/>
        <rFont val="Times New Roman"/>
        <family val="1"/>
      </rPr>
      <t xml:space="preserve"> </t>
    </r>
    <r>
      <rPr>
        <sz val="8"/>
        <color rgb="FF000000"/>
        <rFont val="Times New Roman"/>
        <family val="1"/>
      </rPr>
      <t>más</t>
    </r>
    <r>
      <rPr>
        <sz val="8"/>
        <color rgb="FF000000"/>
        <rFont val="Times New Roman"/>
        <family val="1"/>
      </rPr>
      <t xml:space="preserve"> </t>
    </r>
    <r>
      <rPr>
        <sz val="8"/>
        <color rgb="FF000000"/>
        <rFont val="Times New Roman"/>
        <family val="1"/>
      </rPr>
      <t xml:space="preserve"> </t>
    </r>
    <r>
      <rPr>
        <sz val="8"/>
        <color rgb="FF000000"/>
        <rFont val="Times New Roman"/>
        <family val="1"/>
      </rPr>
      <t>por</t>
    </r>
    <r>
      <rPr>
        <sz val="8"/>
        <color rgb="FF000000"/>
        <rFont val="Times New Roman"/>
        <family val="1"/>
      </rPr>
      <t xml:space="preserve"> </t>
    </r>
    <r>
      <rPr>
        <sz val="8"/>
        <color rgb="FF000000"/>
        <rFont val="Times New Roman"/>
        <family val="1"/>
      </rPr>
      <t>cada</t>
    </r>
    <r>
      <rPr>
        <sz val="8"/>
        <color rgb="FF000000"/>
        <rFont val="Times New Roman"/>
        <family val="1"/>
      </rPr>
      <t xml:space="preserve"> </t>
    </r>
    <r>
      <rPr>
        <sz val="8"/>
        <color rgb="FF000000"/>
        <rFont val="Times New Roman"/>
        <family val="1"/>
      </rPr>
      <t>200</t>
    </r>
    <r>
      <rPr>
        <sz val="8"/>
        <color rgb="FF000000"/>
        <rFont val="Times New Roman"/>
        <family val="1"/>
      </rPr>
      <t xml:space="preserve"> </t>
    </r>
    <r>
      <rPr>
        <sz val="8"/>
        <color rgb="FF000000"/>
        <rFont val="Times New Roman"/>
        <family val="1"/>
      </rPr>
      <t>m</t>
    </r>
    <r>
      <rPr>
        <sz val="5"/>
        <color rgb="FF000000"/>
        <rFont val="Times New Roman"/>
        <family val="1"/>
      </rPr>
      <t>2</t>
    </r>
    <r>
      <rPr>
        <sz val="8"/>
        <color rgb="FF000000"/>
        <rFont val="Times New Roman"/>
        <family val="1"/>
      </rPr>
      <t>,</t>
    </r>
    <r>
      <rPr>
        <sz val="8"/>
        <color rgb="FF000000"/>
        <rFont val="Times New Roman"/>
        <family val="1"/>
      </rPr>
      <t xml:space="preserve"> </t>
    </r>
    <r>
      <rPr>
        <sz val="8"/>
        <color rgb="FF000000"/>
        <rFont val="Times New Roman"/>
        <family val="1"/>
      </rPr>
      <t>o</t>
    </r>
    <r>
      <rPr>
        <sz val="8"/>
        <color rgb="FF000000"/>
        <rFont val="Times New Roman"/>
        <family val="1"/>
      </rPr>
      <t xml:space="preserve"> </t>
    </r>
    <r>
      <rPr>
        <sz val="8"/>
        <color rgb="FF000000"/>
        <rFont val="Times New Roman"/>
        <family val="1"/>
      </rPr>
      <t>fracción,</t>
    </r>
    <r>
      <rPr>
        <sz val="8"/>
        <color rgb="FF000000"/>
        <rFont val="Times New Roman"/>
        <family val="1"/>
      </rPr>
      <t xml:space="preserve"> </t>
    </r>
    <r>
      <rPr>
        <sz val="8"/>
        <color rgb="FF000000"/>
        <rFont val="Times New Roman"/>
        <family val="1"/>
      </rPr>
      <t xml:space="preserve"> </t>
    </r>
    <r>
      <rPr>
        <sz val="8"/>
        <color rgb="FF000000"/>
        <rFont val="Times New Roman"/>
        <family val="1"/>
      </rPr>
      <t>en</t>
    </r>
    <r>
      <rPr>
        <sz val="8"/>
        <color rgb="FF000000"/>
        <rFont val="Times New Roman"/>
        <family val="1"/>
      </rPr>
      <t xml:space="preserve"> </t>
    </r>
    <r>
      <rPr>
        <sz val="8"/>
        <color rgb="FF000000"/>
        <rFont val="Times New Roman"/>
        <family val="1"/>
      </rPr>
      <t>exceso).</t>
    </r>
  </si>
  <si>
    <t>(S-300)/200 +1</t>
  </si>
  <si>
    <r>
      <rPr>
        <sz val="8"/>
        <color rgb="FF000000"/>
        <rFont val="Times New Roman"/>
        <family val="1"/>
      </rPr>
      <t>Hasta</t>
    </r>
    <r>
      <rPr>
        <sz val="8"/>
        <color rgb="FF000000"/>
        <rFont val="Times New Roman"/>
        <family val="1"/>
      </rPr>
      <t xml:space="preserve"> </t>
    </r>
    <r>
      <rPr>
        <sz val="8"/>
        <color rgb="FF000000"/>
        <rFont val="Times New Roman"/>
        <family val="1"/>
      </rPr>
      <t>300</t>
    </r>
    <r>
      <rPr>
        <sz val="8"/>
        <color rgb="FF000000"/>
        <rFont val="Times New Roman"/>
        <family val="1"/>
      </rPr>
      <t xml:space="preserve"> </t>
    </r>
    <r>
      <rPr>
        <sz val="8"/>
        <color rgb="FF000000"/>
        <rFont val="Times New Roman"/>
        <family val="1"/>
      </rPr>
      <t>m</t>
    </r>
    <r>
      <rPr>
        <sz val="5"/>
        <color rgb="FF000000"/>
        <rFont val="Times New Roman"/>
        <family val="1"/>
      </rPr>
      <t>2</t>
    </r>
    <r>
      <rPr>
        <sz val="5"/>
        <color rgb="FF000000"/>
        <rFont val="Times New Roman"/>
        <family val="1"/>
      </rPr>
      <t xml:space="preserve"> </t>
    </r>
    <r>
      <rPr>
        <sz val="5"/>
        <color rgb="FF000000"/>
        <rFont val="Times New Roman"/>
        <family val="1"/>
      </rPr>
      <t xml:space="preserve"> </t>
    </r>
    <r>
      <rPr>
        <sz val="8"/>
        <color rgb="FF000000"/>
        <rFont val="Times New Roman"/>
        <family val="1"/>
      </rPr>
      <t>(un</t>
    </r>
    <r>
      <rPr>
        <sz val="8"/>
        <color rgb="FF000000"/>
        <rFont val="Times New Roman"/>
        <family val="1"/>
      </rPr>
      <t xml:space="preserve"> </t>
    </r>
    <r>
      <rPr>
        <sz val="8"/>
        <color rgb="FF000000"/>
        <rFont val="Times New Roman"/>
        <family val="1"/>
      </rPr>
      <t>extintor</t>
    </r>
    <r>
      <rPr>
        <sz val="8"/>
        <color rgb="FF000000"/>
        <rFont val="Times New Roman"/>
        <family val="1"/>
      </rPr>
      <t xml:space="preserve"> </t>
    </r>
    <r>
      <rPr>
        <sz val="8"/>
        <color rgb="FF000000"/>
        <rFont val="Times New Roman"/>
        <family val="1"/>
      </rPr>
      <t>más</t>
    </r>
    <r>
      <rPr>
        <sz val="8"/>
        <color rgb="FF000000"/>
        <rFont val="Times New Roman"/>
        <family val="1"/>
      </rPr>
      <t xml:space="preserve"> </t>
    </r>
    <r>
      <rPr>
        <sz val="8"/>
        <color rgb="FF000000"/>
        <rFont val="Times New Roman"/>
        <family val="1"/>
      </rPr>
      <t xml:space="preserve"> </t>
    </r>
    <r>
      <rPr>
        <sz val="8"/>
        <color rgb="FF000000"/>
        <rFont val="Times New Roman"/>
        <family val="1"/>
      </rPr>
      <t>por</t>
    </r>
    <r>
      <rPr>
        <sz val="8"/>
        <color rgb="FF000000"/>
        <rFont val="Times New Roman"/>
        <family val="1"/>
      </rPr>
      <t xml:space="preserve"> </t>
    </r>
    <r>
      <rPr>
        <sz val="8"/>
        <color rgb="FF000000"/>
        <rFont val="Times New Roman"/>
        <family val="1"/>
      </rPr>
      <t>cada</t>
    </r>
    <r>
      <rPr>
        <sz val="8"/>
        <color rgb="FF000000"/>
        <rFont val="Times New Roman"/>
        <family val="1"/>
      </rPr>
      <t xml:space="preserve"> </t>
    </r>
    <r>
      <rPr>
        <sz val="8"/>
        <color rgb="FF000000"/>
        <rFont val="Times New Roman"/>
        <family val="1"/>
      </rPr>
      <t>200</t>
    </r>
    <r>
      <rPr>
        <sz val="8"/>
        <color rgb="FF000000"/>
        <rFont val="Times New Roman"/>
        <family val="1"/>
      </rPr>
      <t xml:space="preserve"> </t>
    </r>
    <r>
      <rPr>
        <sz val="8"/>
        <color rgb="FF000000"/>
        <rFont val="Times New Roman"/>
        <family val="1"/>
      </rPr>
      <t>m</t>
    </r>
    <r>
      <rPr>
        <sz val="5"/>
        <color rgb="FF000000"/>
        <rFont val="Times New Roman"/>
        <family val="1"/>
      </rPr>
      <t>2</t>
    </r>
    <r>
      <rPr>
        <sz val="8"/>
        <color rgb="FF000000"/>
        <rFont val="Times New Roman"/>
        <family val="1"/>
      </rPr>
      <t>,</t>
    </r>
    <r>
      <rPr>
        <sz val="8"/>
        <color rgb="FF000000"/>
        <rFont val="Times New Roman"/>
        <family val="1"/>
      </rPr>
      <t xml:space="preserve"> </t>
    </r>
    <r>
      <rPr>
        <sz val="8"/>
        <color rgb="FF000000"/>
        <rFont val="Times New Roman"/>
        <family val="1"/>
      </rPr>
      <t>o</t>
    </r>
    <r>
      <rPr>
        <sz val="8"/>
        <color rgb="FF000000"/>
        <rFont val="Times New Roman"/>
        <family val="1"/>
      </rPr>
      <t xml:space="preserve"> </t>
    </r>
    <r>
      <rPr>
        <sz val="8"/>
        <color rgb="FF000000"/>
        <rFont val="Times New Roman"/>
        <family val="1"/>
      </rPr>
      <t>fracción,</t>
    </r>
    <r>
      <rPr>
        <sz val="8"/>
        <color rgb="FF000000"/>
        <rFont val="Times New Roman"/>
        <family val="1"/>
      </rPr>
      <t xml:space="preserve"> </t>
    </r>
    <r>
      <rPr>
        <sz val="8"/>
        <color rgb="FF000000"/>
        <rFont val="Times New Roman"/>
        <family val="1"/>
      </rPr>
      <t xml:space="preserve"> </t>
    </r>
    <r>
      <rPr>
        <sz val="8"/>
        <color rgb="FF000000"/>
        <rFont val="Times New Roman"/>
        <family val="1"/>
      </rPr>
      <t>en</t>
    </r>
    <r>
      <rPr>
        <sz val="8"/>
        <color rgb="FF000000"/>
        <rFont val="Times New Roman"/>
        <family val="1"/>
      </rPr>
      <t xml:space="preserve"> </t>
    </r>
    <r>
      <rPr>
        <sz val="8"/>
        <color rgb="FF000000"/>
        <rFont val="Times New Roman"/>
        <family val="1"/>
      </rPr>
      <t>exceso).</t>
    </r>
  </si>
  <si>
    <r>
      <rPr>
        <sz val="8"/>
        <color rgb="FF000000"/>
        <rFont val="Times New Roman"/>
        <family val="1"/>
      </rPr>
      <t>Hasta</t>
    </r>
    <r>
      <rPr>
        <sz val="8"/>
        <color rgb="FF000000"/>
        <rFont val="Times New Roman"/>
        <family val="1"/>
      </rPr>
      <t xml:space="preserve"> </t>
    </r>
    <r>
      <rPr>
        <sz val="8"/>
        <color rgb="FF000000"/>
        <rFont val="Times New Roman"/>
        <family val="1"/>
      </rPr>
      <t>300</t>
    </r>
    <r>
      <rPr>
        <sz val="8"/>
        <color rgb="FF000000"/>
        <rFont val="Times New Roman"/>
        <family val="1"/>
      </rPr>
      <t xml:space="preserve"> </t>
    </r>
    <r>
      <rPr>
        <sz val="8"/>
        <color rgb="FF000000"/>
        <rFont val="Times New Roman"/>
        <family val="1"/>
      </rPr>
      <t>m</t>
    </r>
    <r>
      <rPr>
        <sz val="5"/>
        <color rgb="FF000000"/>
        <rFont val="Times New Roman"/>
        <family val="1"/>
      </rPr>
      <t>2</t>
    </r>
    <r>
      <rPr>
        <sz val="5"/>
        <color rgb="FF000000"/>
        <rFont val="Times New Roman"/>
        <family val="1"/>
      </rPr>
      <t xml:space="preserve"> </t>
    </r>
    <r>
      <rPr>
        <sz val="5"/>
        <color rgb="FF000000"/>
        <rFont val="Times New Roman"/>
        <family val="1"/>
      </rPr>
      <t xml:space="preserve"> </t>
    </r>
    <r>
      <rPr>
        <sz val="8"/>
        <color rgb="FF000000"/>
        <rFont val="Times New Roman"/>
        <family val="1"/>
      </rPr>
      <t>(un</t>
    </r>
    <r>
      <rPr>
        <sz val="8"/>
        <color rgb="FF000000"/>
        <rFont val="Times New Roman"/>
        <family val="1"/>
      </rPr>
      <t xml:space="preserve"> </t>
    </r>
    <r>
      <rPr>
        <sz val="8"/>
        <color rgb="FF000000"/>
        <rFont val="Times New Roman"/>
        <family val="1"/>
      </rPr>
      <t>extintor</t>
    </r>
    <r>
      <rPr>
        <sz val="8"/>
        <color rgb="FF000000"/>
        <rFont val="Times New Roman"/>
        <family val="1"/>
      </rPr>
      <t xml:space="preserve"> </t>
    </r>
    <r>
      <rPr>
        <sz val="8"/>
        <color rgb="FF000000"/>
        <rFont val="Times New Roman"/>
        <family val="1"/>
      </rPr>
      <t>más</t>
    </r>
    <r>
      <rPr>
        <sz val="8"/>
        <color rgb="FF000000"/>
        <rFont val="Times New Roman"/>
        <family val="1"/>
      </rPr>
      <t xml:space="preserve"> </t>
    </r>
    <r>
      <rPr>
        <sz val="8"/>
        <color rgb="FF000000"/>
        <rFont val="Times New Roman"/>
        <family val="1"/>
      </rPr>
      <t xml:space="preserve"> </t>
    </r>
    <r>
      <rPr>
        <sz val="8"/>
        <color rgb="FF000000"/>
        <rFont val="Times New Roman"/>
        <family val="1"/>
      </rPr>
      <t>por</t>
    </r>
    <r>
      <rPr>
        <sz val="8"/>
        <color rgb="FF000000"/>
        <rFont val="Times New Roman"/>
        <family val="1"/>
      </rPr>
      <t xml:space="preserve"> </t>
    </r>
    <r>
      <rPr>
        <sz val="8"/>
        <color rgb="FF000000"/>
        <rFont val="Times New Roman"/>
        <family val="1"/>
      </rPr>
      <t>cada</t>
    </r>
    <r>
      <rPr>
        <sz val="8"/>
        <color rgb="FF000000"/>
        <rFont val="Times New Roman"/>
        <family val="1"/>
      </rPr>
      <t xml:space="preserve"> </t>
    </r>
    <r>
      <rPr>
        <sz val="8"/>
        <color rgb="FF000000"/>
        <rFont val="Times New Roman"/>
        <family val="1"/>
      </rPr>
      <t>200</t>
    </r>
    <r>
      <rPr>
        <sz val="8"/>
        <color rgb="FF000000"/>
        <rFont val="Times New Roman"/>
        <family val="1"/>
      </rPr>
      <t xml:space="preserve"> </t>
    </r>
    <r>
      <rPr>
        <sz val="8"/>
        <color rgb="FF000000"/>
        <rFont val="Times New Roman"/>
        <family val="1"/>
      </rPr>
      <t>m</t>
    </r>
    <r>
      <rPr>
        <sz val="5"/>
        <color rgb="FF000000"/>
        <rFont val="Times New Roman"/>
        <family val="1"/>
      </rPr>
      <t>2</t>
    </r>
    <r>
      <rPr>
        <sz val="8"/>
        <color rgb="FF000000"/>
        <rFont val="Times New Roman"/>
        <family val="1"/>
      </rPr>
      <t>,</t>
    </r>
    <r>
      <rPr>
        <sz val="8"/>
        <color rgb="FF000000"/>
        <rFont val="Times New Roman"/>
        <family val="1"/>
      </rPr>
      <t xml:space="preserve"> </t>
    </r>
    <r>
      <rPr>
        <sz val="8"/>
        <color rgb="FF000000"/>
        <rFont val="Times New Roman"/>
        <family val="1"/>
      </rPr>
      <t>o</t>
    </r>
    <r>
      <rPr>
        <sz val="8"/>
        <color rgb="FF000000"/>
        <rFont val="Times New Roman"/>
        <family val="1"/>
      </rPr>
      <t xml:space="preserve"> </t>
    </r>
    <r>
      <rPr>
        <sz val="8"/>
        <color rgb="FF000000"/>
        <rFont val="Times New Roman"/>
        <family val="1"/>
      </rPr>
      <t>fracción,</t>
    </r>
    <r>
      <rPr>
        <sz val="8"/>
        <color rgb="FF000000"/>
        <rFont val="Times New Roman"/>
        <family val="1"/>
      </rPr>
      <t xml:space="preserve"> </t>
    </r>
    <r>
      <rPr>
        <sz val="8"/>
        <color rgb="FF000000"/>
        <rFont val="Times New Roman"/>
        <family val="1"/>
      </rPr>
      <t xml:space="preserve"> </t>
    </r>
    <r>
      <rPr>
        <sz val="8"/>
        <color rgb="FF000000"/>
        <rFont val="Times New Roman"/>
        <family val="1"/>
      </rPr>
      <t>en</t>
    </r>
    <r>
      <rPr>
        <sz val="8"/>
        <color rgb="FF000000"/>
        <rFont val="Times New Roman"/>
        <family val="1"/>
      </rPr>
      <t xml:space="preserve"> </t>
    </r>
    <r>
      <rPr>
        <sz val="8"/>
        <color rgb="FF000000"/>
        <rFont val="Times New Roman"/>
        <family val="1"/>
      </rPr>
      <t>exceso).</t>
    </r>
  </si>
  <si>
    <r>
      <rPr>
        <sz val="8"/>
        <color rgb="FF000000"/>
        <rFont val="Times New Roman"/>
        <family val="1"/>
      </rPr>
      <t>Hasta</t>
    </r>
    <r>
      <rPr>
        <sz val="8"/>
        <color rgb="FF000000"/>
        <rFont val="Times New Roman"/>
        <family val="1"/>
      </rPr>
      <t xml:space="preserve"> </t>
    </r>
    <r>
      <rPr>
        <sz val="8"/>
        <color rgb="FF000000"/>
        <rFont val="Times New Roman"/>
        <family val="1"/>
      </rPr>
      <t>300</t>
    </r>
    <r>
      <rPr>
        <sz val="8"/>
        <color rgb="FF000000"/>
        <rFont val="Times New Roman"/>
        <family val="1"/>
      </rPr>
      <t xml:space="preserve"> </t>
    </r>
    <r>
      <rPr>
        <sz val="8"/>
        <color rgb="FF000000"/>
        <rFont val="Times New Roman"/>
        <family val="1"/>
      </rPr>
      <t>m</t>
    </r>
    <r>
      <rPr>
        <sz val="5"/>
        <color rgb="FF000000"/>
        <rFont val="Times New Roman"/>
        <family val="1"/>
      </rPr>
      <t>2</t>
    </r>
    <r>
      <rPr>
        <sz val="5"/>
        <color rgb="FF000000"/>
        <rFont val="Times New Roman"/>
        <family val="1"/>
      </rPr>
      <t xml:space="preserve"> </t>
    </r>
    <r>
      <rPr>
        <sz val="5"/>
        <color rgb="FF000000"/>
        <rFont val="Times New Roman"/>
        <family val="1"/>
      </rPr>
      <t xml:space="preserve"> </t>
    </r>
    <r>
      <rPr>
        <sz val="8"/>
        <color rgb="FF000000"/>
        <rFont val="Times New Roman"/>
        <family val="1"/>
      </rPr>
      <t>(un</t>
    </r>
    <r>
      <rPr>
        <sz val="8"/>
        <color rgb="FF000000"/>
        <rFont val="Times New Roman"/>
        <family val="1"/>
      </rPr>
      <t xml:space="preserve"> </t>
    </r>
    <r>
      <rPr>
        <sz val="8"/>
        <color rgb="FF000000"/>
        <rFont val="Times New Roman"/>
        <family val="1"/>
      </rPr>
      <t>extintor</t>
    </r>
    <r>
      <rPr>
        <sz val="8"/>
        <color rgb="FF000000"/>
        <rFont val="Times New Roman"/>
        <family val="1"/>
      </rPr>
      <t xml:space="preserve"> </t>
    </r>
    <r>
      <rPr>
        <sz val="8"/>
        <color rgb="FF000000"/>
        <rFont val="Times New Roman"/>
        <family val="1"/>
      </rPr>
      <t>más</t>
    </r>
    <r>
      <rPr>
        <sz val="8"/>
        <color rgb="FF000000"/>
        <rFont val="Times New Roman"/>
        <family val="1"/>
      </rPr>
      <t xml:space="preserve"> </t>
    </r>
    <r>
      <rPr>
        <sz val="8"/>
        <color rgb="FF000000"/>
        <rFont val="Times New Roman"/>
        <family val="1"/>
      </rPr>
      <t xml:space="preserve"> </t>
    </r>
    <r>
      <rPr>
        <sz val="8"/>
        <color rgb="FF000000"/>
        <rFont val="Times New Roman"/>
        <family val="1"/>
      </rPr>
      <t>por</t>
    </r>
    <r>
      <rPr>
        <sz val="8"/>
        <color rgb="FF000000"/>
        <rFont val="Times New Roman"/>
        <family val="1"/>
      </rPr>
      <t xml:space="preserve"> </t>
    </r>
    <r>
      <rPr>
        <sz val="8"/>
        <color rgb="FF000000"/>
        <rFont val="Times New Roman"/>
        <family val="1"/>
      </rPr>
      <t>cada</t>
    </r>
    <r>
      <rPr>
        <sz val="8"/>
        <color rgb="FF000000"/>
        <rFont val="Times New Roman"/>
        <family val="1"/>
      </rPr>
      <t xml:space="preserve"> </t>
    </r>
    <r>
      <rPr>
        <sz val="8"/>
        <color rgb="FF000000"/>
        <rFont val="Times New Roman"/>
        <family val="1"/>
      </rPr>
      <t>200</t>
    </r>
    <r>
      <rPr>
        <sz val="8"/>
        <color rgb="FF000000"/>
        <rFont val="Times New Roman"/>
        <family val="1"/>
      </rPr>
      <t xml:space="preserve"> </t>
    </r>
    <r>
      <rPr>
        <sz val="8"/>
        <color rgb="FF000000"/>
        <rFont val="Times New Roman"/>
        <family val="1"/>
      </rPr>
      <t>m</t>
    </r>
    <r>
      <rPr>
        <sz val="5"/>
        <color rgb="FF000000"/>
        <rFont val="Times New Roman"/>
        <family val="1"/>
      </rPr>
      <t>2</t>
    </r>
    <r>
      <rPr>
        <sz val="8"/>
        <color rgb="FF000000"/>
        <rFont val="Times New Roman"/>
        <family val="1"/>
      </rPr>
      <t>,</t>
    </r>
    <r>
      <rPr>
        <sz val="8"/>
        <color rgb="FF000000"/>
        <rFont val="Times New Roman"/>
        <family val="1"/>
      </rPr>
      <t xml:space="preserve"> </t>
    </r>
    <r>
      <rPr>
        <sz val="8"/>
        <color rgb="FF000000"/>
        <rFont val="Times New Roman"/>
        <family val="1"/>
      </rPr>
      <t>o</t>
    </r>
    <r>
      <rPr>
        <sz val="8"/>
        <color rgb="FF000000"/>
        <rFont val="Times New Roman"/>
        <family val="1"/>
      </rPr>
      <t xml:space="preserve"> </t>
    </r>
    <r>
      <rPr>
        <sz val="8"/>
        <color rgb="FF000000"/>
        <rFont val="Times New Roman"/>
        <family val="1"/>
      </rPr>
      <t>fracción,</t>
    </r>
    <r>
      <rPr>
        <sz val="8"/>
        <color rgb="FF000000"/>
        <rFont val="Times New Roman"/>
        <family val="1"/>
      </rPr>
      <t xml:space="preserve"> </t>
    </r>
    <r>
      <rPr>
        <sz val="8"/>
        <color rgb="FF000000"/>
        <rFont val="Times New Roman"/>
        <family val="1"/>
      </rPr>
      <t xml:space="preserve"> </t>
    </r>
    <r>
      <rPr>
        <sz val="8"/>
        <color rgb="FF000000"/>
        <rFont val="Times New Roman"/>
        <family val="1"/>
      </rPr>
      <t>en</t>
    </r>
    <r>
      <rPr>
        <sz val="8"/>
        <color rgb="FF000000"/>
        <rFont val="Times New Roman"/>
        <family val="1"/>
      </rPr>
      <t xml:space="preserve"> </t>
    </r>
    <r>
      <rPr>
        <sz val="8"/>
        <color rgb="FF000000"/>
        <rFont val="Times New Roman"/>
        <family val="1"/>
      </rPr>
      <t>exceso).</t>
    </r>
  </si>
  <si>
    <t>Volumen máximo (V) de combustibles líquidos en el sector de incendio</t>
  </si>
  <si>
    <t>V ≤ 20</t>
  </si>
  <si>
    <t>20 &lt; V ≤ 50</t>
  </si>
  <si>
    <t>50 &lt; V ≤ 100</t>
  </si>
  <si>
    <t>100 &lt; V ≤ 200</t>
  </si>
  <si>
    <t>200 &lt; V ≤ 750</t>
  </si>
  <si>
    <t>V &gt; 750</t>
  </si>
  <si>
    <t>Eficacia  mínima del extintor.</t>
  </si>
  <si>
    <t>113 B</t>
  </si>
  <si>
    <t>144 B</t>
  </si>
  <si>
    <t>233 B</t>
  </si>
  <si>
    <t>1+ Extintor movil</t>
  </si>
  <si>
    <t>2+ Extintores moviles</t>
  </si>
  <si>
    <t>Eficacia Minima si 50% de V contenido en recipientes metalicos</t>
  </si>
  <si>
    <t>4.3 En el caso de fuegos que se desarrollan en presencia de aparatos o cuadros eléctricos, conductores u otros elementos con tensión eléctrica, debe verificarse que el extintor escogido es apto para dicho voltaje.</t>
  </si>
  <si>
    <t>Nota 1: Cuando más del 50 por ciento del volumen de los combustibles líquidos (V) esté contenido en recipientes metálicos perfectamente cerrados, la eficacia mínima del extintor puede reducirse a la inmediatamente anterior de la clase B.</t>
  </si>
  <si>
    <t>4.4 El emplazamiento de los extintores portátiles permitirá que sean fácilmente visibles y accesibles, estarán situados próximos a los puntos donde se estime mayor probabilidad de iniciarse el incendio y su distribución será tal que el recorrido máximo horizontal, desde cualquier punto del sector de incendio hasta el extintor, no supere 15 metros.</t>
  </si>
  <si>
    <t>Nota 2: Cuando el volumen de combustibles líquidos en el sector o área de incendio (V) supere los 200 litros, se incrementará la dotación de extintores portátiles añadiendo extintores móviles sobre ruedas de una eficacia mínima II B (por ejemplo, de 50 kg de polvo BC o ABC, o bien, uno equivalente de agua con aditivos), a razón de:a) Un extintor, si V es mayor de 200 litros y menor o igual de 750 litros.b) Dos extintores, si V es mayor de 750 litros.c) En el caso de que exista reglamentación sectorial o específica se aplicará lo dispuesto allí, no siendo aplicable lo dispuesto en esta tabla.</t>
  </si>
  <si>
    <t>4.5 Se instalarán extintores portátiles en todas las áreas de incendio de los establecimientos industriales (configuración tipo D), excepto en las áreas cuyo nivel de riesgo intrínseco sea bajo 1. La dotación de estos se realizará de acuerdo con lo establecido en los párrafos anteriores, excepto en lo relativo al recorrido máximo hasta uno de ellos, que podrá ampliarse a 25 metros.</t>
  </si>
  <si>
    <t>Bies</t>
  </si>
  <si>
    <t>Para todas las actividades</t>
  </si>
  <si>
    <t>Tipo de BIE</t>
  </si>
  <si>
    <t>Si para riego medio ya existieran BIES de 45 mm estas serán admitidas</t>
  </si>
  <si>
    <t>Para riego alto se admitirá instalar BIES de 25 mm con una toma adicional de 45 mm</t>
  </si>
  <si>
    <t>45 mm</t>
  </si>
  <si>
    <t>≥ Altura Evacuación</t>
  </si>
  <si>
    <t>Extinción Automatica</t>
  </si>
  <si>
    <t>7.1.2 En sectores de riesgo bajo, donde dentro de un mismo sector coexistan zonas de fabricación con grandes zonas de almacenamiento, con densidad de carga de fuego no uniforme entre ellas, deberá realizarse adicionalmente un cálculo del NRI para cada una de estas zonas, y disponerse de sistemas fijos de extinción automática en todo el sector en el caso de que alguna de ellas sea de nivel de riesgo intrínseco medio o alto, con una superficie igual o superior a la indicada en el apartado 7.1.1. No será aplicable este párrafo si las zonas con mayor densidad de carga de fuego están distribuidas dentro del sector agrupadas en superficies inferiores.</t>
  </si>
  <si>
    <t xml:space="preserve">7.1.3 Los rociadores automáticos pueden ser sustituidos por otros tipos de sistemas fijos de extinción automática recogidos en el RIPCI, siempre que estos sean adecuados </t>
  </si>
  <si>
    <t>Sistemas fijos de extincion por agua pulverizada</t>
  </si>
  <si>
    <t>Se   instalarán sistemas  de  agua  pulverizada cuando por  la  configuración, contenido, proceso y  ubicación del  riesgo  sea necesario refrigerar   partes de  este para   asegurar  la estabilidad de su estructura 
y evitar los efectos del calor de radiación emitido por otro riesgo cercano.  
También se  instalarán en   aquellos sectores  y  áreas  de   incendio   donde sea preceptiva  su   instalación  de   acuerdo  con   las   disposiciones  vigentes  
que   regulan  la protección contra  incendios en actividades industriales sectoriales o específicas.</t>
  </si>
  <si>
    <t>Sistemas fijos de extinción por espuma física</t>
  </si>
  <si>
    <t>Se  instalarán sistemas de espuma física en aquellos sectores y áreas de incendio  donde sea  preceptiva su  instalación de  acuerdo con  las  disposiciones vigentes que  regulan  la protección contra  incendios en actividades industriales, sectoriales o específicas.</t>
  </si>
  <si>
    <t>Cuando se instalen estos sistemas, debe verificarse que  sean adecuados para  el riesgo a proteger, conforme a sus  especificaciones.</t>
  </si>
  <si>
    <t>Sistemas fijos de extinción por polvo</t>
  </si>
  <si>
    <t>Se  instalarán sistemas de  extinción  por  polvo  en  aquellos sectores de  incendio  donde</t>
  </si>
  <si>
    <t>sea  preceptiva su  instalación de  acuerdo con  las  disposiciones vigentes que  regulan  la protección contra  incendios en actividades industriales sectoriales o específicas.</t>
  </si>
  <si>
    <t>Sistemas fijos de extinción por agentes gaseosos</t>
  </si>
  <si>
    <t>Cuando sea  preceptiva la  instalación  de  sistemas fijos  de  extinción   automática,  se instalarán preferentemente sistemas  de  extinción  por  agentes extintores gaseosos  en  los sectores  de   incendio   de   los  establecimientos  industriales,  cuando  constituyan  recintos dedicados a albergar equipos eléctricos o electrónicos, centros de cálculo,  bancos de datos, centros de  control  o medida y análogos, y la protección con  sistemas de  agua pueda dañar dichos   equipos.  También se  instalarán  en   aquellos  sectores  de   incendio   donde sea preceptiva  su   instalación  de   acuerdo  con   las   disposiciones  vigentes  que   regulan  la protección contra  incendios en actividades industriales sectoriales o específicas.</t>
  </si>
  <si>
    <t>En  todo  caso, este tipo  de  sistemas sólo  se podrá   instalar   y  utilizar  cuando quede garantizada la seguridad y la evacuación de las personas. En caso contrario, deberá optarse por instalar  otro tipo distinto de sistema fijo de extinción.</t>
  </si>
  <si>
    <t>Notas MsgBox Interfaz</t>
  </si>
  <si>
    <t>Control de humos</t>
  </si>
  <si>
    <t>En los casos de presencia habitual de personas, con una densidad de ocupación del sector superior a 10 personas por cada 100 m2o bien, cuando sea superior a 5 personas por cada 100 m2 y laaltura de techo sea inferior a 5 metros, el sistema se debe diseñar con los objetivos de protección de los medios de evacuación y de facilitación de las operaciones de lucha contra incendios.</t>
  </si>
  <si>
    <t>En los casos de menor presencia de personas, se debe diseñar con los objetivos de facilitación de las operaciones de lucha contra incendios; y además, de protección de bienes, o bien, de control de temperatura de los gases</t>
  </si>
  <si>
    <t>8.4 En sectores de riesgo medio o alto de tamaño inferior al indicado en el apartado 8.2, siempre que sean de al menos 100 m2, se instalarán sistemas para el control de humos y de calor según el apartado 8.3, o bien, alternativamente a estos, se podrá disponer de huecos de ventilación que faciliten la extracción de los humos (los cuales no computarán como sistemas para el control de humos y de calor, siendo estos una solución simplificada), pudiendo tomarse como referencia para su diseño (y quedando fuera del ámbito de aplicación del RIPCI) los siguientes valores de huecos, a razón de:</t>
  </si>
  <si>
    <t>2º Los extractores deberán tener una clasificación F400 120. En caso de utilizarse conductos para la extracción de humos o para la aportación de aire que estén inmersos en el sector de incendios, deberán tener una clasificación E600 60 si discurren por un único sector o EI 120 si atraviesan elementos compartimentadores de incendio.</t>
  </si>
  <si>
    <t>Sistemas ventilación</t>
  </si>
  <si>
    <t>Superficie Aerodinámica</t>
  </si>
  <si>
    <t>Renovaciones por hora</t>
  </si>
  <si>
    <t>3.º La aportación de aire se realizará de forma natural salvo que la ubicación del sector lo impida, en cuyo caso se realizará de forma mecánica en la parte baja del sector en una proporción máxima del 80 % del caudal requerido para la salida de humos y con activación únicamente manual por parte del SEIS desde un puesto de mando fácilmente accesible y localizable.</t>
  </si>
  <si>
    <t>0.5*(S/200)</t>
  </si>
  <si>
    <t>0.5*(S/150)</t>
  </si>
  <si>
    <t>0.5*(S/100)</t>
  </si>
  <si>
    <t>El  alumbrado de  emergencia cumplirá   con  los  requisitos aplicables  de  la  sección  4</t>
  </si>
  <si>
    <t>«Seguridad frente  al riesgo  causado por iluminación  inadecuada» del Documento Básico  de</t>
  </si>
  <si>
    <t>Seguridad de utilización y accesibilidad del Código Técnico  de Edificación  (CTE DB-SUA 4).</t>
  </si>
  <si>
    <t>Señaletica</t>
  </si>
  <si>
    <t>Mecanismos Activa</t>
  </si>
  <si>
    <t>Será importante respasar como vamos a poner estos nombre en el interfaz final, mi idea será hacer una comprobación en esta tabla de si necesitan señaletica</t>
  </si>
  <si>
    <t>Detección</t>
  </si>
  <si>
    <t>Esto viene del correo de Maite del 27/06/25</t>
  </si>
  <si>
    <t>Abastecimiento</t>
  </si>
  <si>
    <t>Hidrantes</t>
  </si>
  <si>
    <t>Extintores</t>
  </si>
  <si>
    <t>BIES</t>
  </si>
  <si>
    <t>Extinción Automática</t>
  </si>
  <si>
    <t>Columna Seca</t>
  </si>
  <si>
    <t>Control de Humos</t>
  </si>
  <si>
    <t>Alumbrado de Emergencia</t>
  </si>
  <si>
    <t>Los  medios  de   protección  contra   incendios  de   utilización   manual  (tales   como extintores, pulsadores  de  alarma, BIE  o  hidrantes) deberán  señalizarse  para   facilitar  su localización.</t>
  </si>
  <si>
    <t>Configuraciones</t>
  </si>
  <si>
    <t>QS Limites</t>
  </si>
  <si>
    <t>Boolean</t>
  </si>
  <si>
    <t>QS (MJ/m2) LIM</t>
  </si>
  <si>
    <t>Sistuación</t>
  </si>
  <si>
    <r>
      <rPr>
        <sz val="11"/>
        <color theme="1"/>
        <rFont val="Aptos Narrow"/>
        <family val="2"/>
      </rPr>
      <t xml:space="preserve">≤ </t>
    </r>
    <r>
      <rPr>
        <sz val="11"/>
        <color theme="1"/>
        <rFont val="Calibri"/>
        <family val="2"/>
      </rPr>
      <t>425 MJ/m2</t>
    </r>
  </si>
  <si>
    <t>≤ 850 MJ/m2</t>
  </si>
  <si>
    <t>Pasillos y escaleras protegidos</t>
  </si>
  <si>
    <t>≤ 1275 MJ/m2</t>
  </si>
  <si>
    <t>Aparcamientos y sectores de nivel de riesgo intrínseco alto</t>
  </si>
  <si>
    <t>≤ 1700 MJ/m2</t>
  </si>
  <si>
    <t>Espacios ocultos no estancos o susceptibles de provocar un encendio</t>
  </si>
  <si>
    <t>≤ 3400 MJ/m2</t>
  </si>
  <si>
    <t>≤ 6800 MJ/m2</t>
  </si>
  <si>
    <t>≤ 13600 MJ/m2</t>
  </si>
  <si>
    <t>&gt; 13600 MJ/m2</t>
  </si>
  <si>
    <t xml:space="preserve">REQUERIMIENTOS RSCIEI (RD164/2025): </t>
  </si>
  <si>
    <t>SUPERFICIE (m2)</t>
  </si>
  <si>
    <t>Qs(MJ/m2)</t>
  </si>
  <si>
    <t>TIPO</t>
  </si>
  <si>
    <t>NIVEL DE RIESGO</t>
  </si>
  <si>
    <t xml:space="preserve">FACTOR </t>
  </si>
  <si>
    <t>SUPERFICIE MÁXIMA DEL SECTOR (m2)</t>
  </si>
  <si>
    <t>Máx. Superficie Admisible (Tabla 2.1.1)</t>
  </si>
  <si>
    <t>NOTAS REFERENCIADAS</t>
  </si>
  <si>
    <t>Superficie máxima del sector corregida (m2)</t>
  </si>
  <si>
    <r>
      <rPr>
        <b/>
        <sz val="10"/>
        <color theme="1"/>
        <rFont val="Century Gothic"/>
        <family val="2"/>
      </rPr>
      <t xml:space="preserve">NOTA 1.a/1.b
</t>
    </r>
    <r>
      <rPr>
        <sz val="10"/>
        <color theme="1"/>
        <rFont val="Century Gothic"/>
        <family val="2"/>
      </rPr>
      <t>BAJO RASANTE</t>
    </r>
  </si>
  <si>
    <t>Notas aplicables simultáneamente</t>
  </si>
  <si>
    <r>
      <rPr>
        <b/>
        <sz val="10"/>
        <color theme="1"/>
        <rFont val="Century Gothic"/>
        <family val="2"/>
      </rPr>
      <t xml:space="preserve">NOTA 4
</t>
    </r>
    <r>
      <rPr>
        <sz val="10"/>
        <color theme="1"/>
        <rFont val="Century Gothic"/>
        <family val="2"/>
      </rPr>
      <t>SIN LÍMITE si Tipo C, Rociadores en todo el sector y &gt;10m a otro estable. o Lím. Parcela</t>
    </r>
  </si>
  <si>
    <r>
      <rPr>
        <b/>
        <sz val="10"/>
        <color theme="1"/>
        <rFont val="Century Gothic"/>
        <family val="2"/>
      </rPr>
      <t xml:space="preserve">NOTA 5
</t>
    </r>
    <r>
      <rPr>
        <sz val="10"/>
        <color theme="1"/>
        <rFont val="Century Gothic"/>
        <family val="2"/>
      </rPr>
      <t>Excepciones a los NO ADMITIDOS (*)</t>
    </r>
  </si>
  <si>
    <r>
      <rPr>
        <b/>
        <sz val="10"/>
        <color theme="1"/>
        <rFont val="Century Gothic"/>
        <family val="2"/>
      </rPr>
      <t xml:space="preserve">NOTA 2
</t>
    </r>
    <r>
      <rPr>
        <sz val="10"/>
        <color theme="1"/>
        <rFont val="Century Gothic"/>
        <family val="2"/>
      </rPr>
      <t>FACTOR x1,25 si fachada accesible ≥50% perímetro</t>
    </r>
  </si>
  <si>
    <r>
      <rPr>
        <b/>
        <sz val="10"/>
        <color theme="1"/>
        <rFont val="Century Gothic"/>
        <family val="2"/>
      </rPr>
      <t xml:space="preserve">NOTA 3
</t>
    </r>
    <r>
      <rPr>
        <sz val="10"/>
        <color theme="1"/>
        <rFont val="Century Gothic"/>
        <family val="2"/>
      </rPr>
      <t>FACTOR x2 si Rociadores en todo el sector</t>
    </r>
  </si>
  <si>
    <t>(*) NOTA 5:</t>
  </si>
  <si>
    <t>a)</t>
  </si>
  <si>
    <t>Exclusivamente almacenamiento. Sólo carga de baterías si Sistema fijo + Det+ Puls + Alarma. Separado 2,5m de combustibles.</t>
  </si>
  <si>
    <t>-</t>
  </si>
  <si>
    <t>b)</t>
  </si>
  <si>
    <t>Estructura, muros y cubiertas delimitadores INDEP. AH estructura común pero cubierta INDEP si su colapso no afecta colindantes + Sistema fijo + SCTEH</t>
  </si>
  <si>
    <t>c)</t>
  </si>
  <si>
    <r>
      <rPr>
        <sz val="10"/>
        <color theme="1"/>
        <rFont val="Century Gothic"/>
        <family val="2"/>
      </rPr>
      <t xml:space="preserve">Sector sobre rasante con altura de evacuación &lt;15m y fachada accesible </t>
    </r>
    <r>
      <rPr>
        <sz val="10"/>
        <color theme="1"/>
        <rFont val="Aptos Narrow"/>
        <family val="2"/>
      </rPr>
      <t>≥</t>
    </r>
    <r>
      <rPr>
        <sz val="10"/>
        <color theme="1"/>
        <rFont val="Century Gothic"/>
        <family val="2"/>
      </rPr>
      <t>5m.</t>
    </r>
  </si>
  <si>
    <t>d)</t>
  </si>
  <si>
    <t>Al menos 1 BIE si S&gt;25m2</t>
  </si>
  <si>
    <t>e)</t>
  </si>
  <si>
    <t>Máx. S=100m2</t>
  </si>
  <si>
    <t>i.</t>
  </si>
  <si>
    <t>300m2 (AV), 1.500m2 (AH), 3000m2 (B) si Sistema fijo + Det+ Puls + Alarma + SCTEH</t>
  </si>
  <si>
    <t>ii.</t>
  </si>
  <si>
    <r>
      <rPr>
        <sz val="10"/>
        <color theme="1"/>
        <rFont val="Century Gothic"/>
        <family val="2"/>
      </rPr>
      <t xml:space="preserve">5000m2 (AH, NRI Alto 6,7,8), 6000m2 (B, NRI Alto 8) si TODO LO ANTERIOR + ESFR + Central remota monit. continua + planta de salida + </t>
    </r>
    <r>
      <rPr>
        <sz val="10"/>
        <color theme="1"/>
        <rFont val="Aptos Narrow"/>
        <family val="2"/>
      </rPr>
      <t>≥</t>
    </r>
    <r>
      <rPr>
        <sz val="10"/>
        <color theme="1"/>
        <rFont val="Century Gothic"/>
        <family val="2"/>
      </rPr>
      <t xml:space="preserve">2 salidas Ext. + 2 zonas de fachada accesible (&gt;30%perímetro) en fach. Opuestas o perpend. + Edif. 1 planta + Pasillos estanterís </t>
    </r>
    <r>
      <rPr>
        <sz val="10"/>
        <color theme="1"/>
        <rFont val="Aptos Narrow"/>
        <family val="2"/>
      </rPr>
      <t>≥</t>
    </r>
    <r>
      <rPr>
        <sz val="10"/>
        <color theme="1"/>
        <rFont val="Century Gothic"/>
        <family val="2"/>
      </rPr>
      <t>3m.</t>
    </r>
  </si>
  <si>
    <t>Comentarios:</t>
  </si>
  <si>
    <t>RESISTENCIA AL FUEGO DE ELEMENTOS CONSTRUCTIVOS QUE DELIMITAN SECTORES DE INCENDIO</t>
  </si>
  <si>
    <t>Elementos constructivos delimitadores 
(Tabla 2.1.2)</t>
  </si>
  <si>
    <r>
      <rPr>
        <b/>
        <sz val="10"/>
        <color theme="1"/>
        <rFont val="Century Gothic"/>
        <family val="2"/>
      </rPr>
      <t xml:space="preserve">NOTA 4
</t>
    </r>
    <r>
      <rPr>
        <sz val="10"/>
        <color theme="1"/>
        <rFont val="Century Gothic"/>
        <family val="2"/>
      </rPr>
      <t xml:space="preserve">Elementos constructivos delimitadores CORREGIDA si: 1 sola planta + Cubierta ligera + Roc. + SCTEH </t>
    </r>
    <r>
      <rPr>
        <b/>
        <sz val="10"/>
        <color theme="1"/>
        <rFont val="Century Gothic"/>
        <family val="2"/>
      </rPr>
      <t xml:space="preserve">
(Tabla 2.1.3)</t>
    </r>
  </si>
  <si>
    <t>Puertas de paso peatonal entre sectores</t>
  </si>
  <si>
    <t>REACCIÓN AL FUEGO DE LOS ELEMENTOS CONSTRUCTIVOS</t>
  </si>
  <si>
    <t>Paredes y Techos</t>
  </si>
  <si>
    <t>RESISTENCIA AL FUEGO DE MEDIANERÍAS, MUROS, FORJADOS Y FACHADAS DE EDIFICIOS</t>
  </si>
  <si>
    <r>
      <rPr>
        <b/>
        <sz val="10"/>
        <color theme="1"/>
        <rFont val="Century Gothic"/>
        <family val="2"/>
      </rPr>
      <t xml:space="preserve">Elementos separadores con otros establecimientos a </t>
    </r>
    <r>
      <rPr>
        <b/>
        <sz val="10"/>
        <color theme="1"/>
        <rFont val="Calibri"/>
        <family val="2"/>
      </rPr>
      <t>≤</t>
    </r>
    <r>
      <rPr>
        <b/>
        <sz val="8"/>
        <color theme="1"/>
        <rFont val="Century Gothic"/>
        <family val="2"/>
      </rPr>
      <t>3m</t>
    </r>
    <r>
      <rPr>
        <b/>
        <sz val="10"/>
        <color theme="1"/>
        <rFont val="Century Gothic"/>
        <family val="2"/>
      </rPr>
      <t xml:space="preserve"> 
(Tabla 2.2.1)</t>
    </r>
  </si>
  <si>
    <r>
      <rPr>
        <b/>
        <sz val="10"/>
        <color theme="1"/>
        <rFont val="Century Gothic"/>
        <family val="2"/>
      </rPr>
      <t xml:space="preserve">NOTA 4
</t>
    </r>
    <r>
      <rPr>
        <sz val="10"/>
        <color theme="1"/>
        <rFont val="Century Gothic"/>
        <family val="2"/>
      </rPr>
      <t>Elementos separadores con establecimientos colindantes 2 MUROS</t>
    </r>
  </si>
  <si>
    <t>Puertas de paso peatonal entre establecimientos</t>
  </si>
  <si>
    <t>Encuentros de fachadas y cubiertas entre sectores</t>
  </si>
  <si>
    <t>Encuentros de fachadas y cubiertas entre establecimientos</t>
  </si>
  <si>
    <t>Reacción al fuego de Fachadas</t>
  </si>
  <si>
    <t>EVACUACIÓN DE LOS ESTABLECIMIENTOS INDUSTRIALES</t>
  </si>
  <si>
    <t>Longitud del recorrido de evacuación en el caso de una única salida o de recorrido sin alternativa (m) (***)
(Tabla 2.3.1)</t>
  </si>
  <si>
    <r>
      <rPr>
        <b/>
        <sz val="10"/>
        <color theme="1"/>
        <rFont val="Century Gothic"/>
        <family val="2"/>
      </rPr>
      <t xml:space="preserve">NOTA 4.a. </t>
    </r>
    <r>
      <rPr>
        <sz val="10"/>
        <color theme="1"/>
        <rFont val="Century Gothic"/>
        <family val="2"/>
      </rPr>
      <t>FACTOR x1.25 si Sistema Fijo</t>
    </r>
  </si>
  <si>
    <r>
      <rPr>
        <b/>
        <sz val="10"/>
        <color theme="1"/>
        <rFont val="Century Gothic"/>
        <family val="2"/>
      </rPr>
      <t xml:space="preserve">NOTA 4.b. </t>
    </r>
    <r>
      <rPr>
        <sz val="10"/>
        <color theme="1"/>
        <rFont val="Century Gothic"/>
        <family val="2"/>
      </rPr>
      <t>FACTOR x1.25 si SCTECH</t>
    </r>
  </si>
  <si>
    <r>
      <rPr>
        <b/>
        <sz val="10"/>
        <color theme="1"/>
        <rFont val="Century Gothic"/>
        <family val="2"/>
      </rPr>
      <t xml:space="preserve">NOTA 4.c.
</t>
    </r>
    <r>
      <rPr>
        <sz val="10"/>
        <color theme="1"/>
        <rFont val="Century Gothic"/>
        <family val="2"/>
      </rPr>
      <t>Factor x2 si Planta de salida, ≥2 salidas al ext. + Hnave ≥8m + Sitema Fijo
(MÁX 90m)</t>
    </r>
  </si>
  <si>
    <t>Longitud del recorrido de evacuación en el caso de una única salida o de recorrido sin alternativa (m)</t>
  </si>
  <si>
    <t>Longitud del recorrido de evacuación en el caso de dos saldias alternativas (m)</t>
  </si>
  <si>
    <r>
      <rPr>
        <b/>
        <sz val="10"/>
        <color theme="1"/>
        <rFont val="Century Gothic"/>
        <family val="2"/>
      </rPr>
      <t xml:space="preserve">NOTA 4.a.
</t>
    </r>
    <r>
      <rPr>
        <sz val="10"/>
        <color theme="1"/>
        <rFont val="Century Gothic"/>
        <family val="2"/>
      </rPr>
      <t>FACTOR x1.25 si Sistema Fijo</t>
    </r>
  </si>
  <si>
    <r>
      <rPr>
        <b/>
        <sz val="10"/>
        <color theme="1"/>
        <rFont val="Century Gothic"/>
        <family val="2"/>
      </rPr>
      <t xml:space="preserve">NOTA 4.b.
</t>
    </r>
    <r>
      <rPr>
        <sz val="10"/>
        <color theme="1"/>
        <rFont val="Century Gothic"/>
        <family val="2"/>
      </rPr>
      <t>FACTOR x1.25 si SCTECH</t>
    </r>
  </si>
  <si>
    <r>
      <rPr>
        <b/>
        <sz val="10"/>
        <color theme="1"/>
        <rFont val="Century Gothic"/>
        <family val="2"/>
      </rPr>
      <t xml:space="preserve">NOTA 4.c.
</t>
    </r>
    <r>
      <rPr>
        <sz val="10"/>
        <color theme="1"/>
        <rFont val="Century Gothic"/>
        <family val="2"/>
      </rPr>
      <t>Factor x2 si Planta de salida, ≥2 salidas al ext. + Hnave ≥8m + Sitema Fijo
(MÁX 90m)</t>
    </r>
  </si>
  <si>
    <r>
      <rPr>
        <b/>
        <sz val="10"/>
        <color theme="1"/>
        <rFont val="Century Gothic"/>
        <family val="2"/>
      </rPr>
      <t xml:space="preserve">NOTA 5
</t>
    </r>
    <r>
      <rPr>
        <sz val="10"/>
        <color theme="1"/>
        <rFont val="Century Gothic"/>
        <family val="2"/>
      </rPr>
      <t>Si NRI Bajo1 + Limitación    en mat. existentes</t>
    </r>
  </si>
  <si>
    <t>Longitud de evacuacion - existente (m)</t>
  </si>
  <si>
    <t>Anchura mínima libre en tramos rectos (m)</t>
  </si>
  <si>
    <t>Anchura mínima libre en tramos curvos (m)</t>
  </si>
  <si>
    <t>Altura mínima libre (m)</t>
  </si>
  <si>
    <t>7,2</t>
  </si>
  <si>
    <t>4,5</t>
  </si>
  <si>
    <t>ENTORNO DE LOS EDIFICIOS</t>
  </si>
  <si>
    <t>Anchura mínima libre (m)</t>
  </si>
  <si>
    <t>Separación máx. Del vehículo SEIS a fachada (m)</t>
  </si>
  <si>
    <t>ACCESIBILIDAD A LA FACHADA Y AL INTERIOR</t>
  </si>
  <si>
    <t>Dimensiones de los huecos (m x m)</t>
  </si>
  <si>
    <t>Distancia máx. entre ejes de huecos (m)</t>
  </si>
  <si>
    <t>Longitud de la fachada accesible respecto al perimetro</t>
  </si>
  <si>
    <t>0,8 x 1,2</t>
  </si>
  <si>
    <t>RESISTENCIA AL FUEGO DE LOS ELEMENTOS ESTRUCTURALES PRINCIPALES PORTANTES</t>
  </si>
  <si>
    <t>Estructura portante sobre rasante
(Tabla 2.5.1)</t>
  </si>
  <si>
    <t>Cubierta ligera justificando que su fallo no ocasiona daños graves a otros edificios o establecimientos, siendo riesgo bajo, o si es riesgo medio o alto tiene SCTEH
(Tabla 2.5.2)</t>
  </si>
  <si>
    <t>Sobre rasante de una sola planta, cubierta ligera con Sistema fijo y SCTEH
(Tabla 2.5.3)</t>
  </si>
  <si>
    <t>Establecimientos tipo C de una planta y un único sector (sin tener en cuenta el sector admin.) con Sistema fijo y SCTEH y separados al menos 10m de otros estable. o límites de parcela</t>
  </si>
  <si>
    <t>ANEXO III. REQUISITOS DOTACIONALES DE LAS INSTALACIONES DE PROTECCIÓN ACTIVA CONTRA INCENDIOS DE LOS ESTABLECIMIENTOS INDUSTRIALES.</t>
  </si>
  <si>
    <t>SISTEMA</t>
  </si>
  <si>
    <t>1. Sistema de Detección y  Alarma</t>
  </si>
  <si>
    <t>2. Sistemas de abastecimiento (**)</t>
  </si>
  <si>
    <t>3. Sistemas de Hidrantes</t>
  </si>
  <si>
    <t>4. Extintores</t>
  </si>
  <si>
    <t>5. Bocas de incendio</t>
  </si>
  <si>
    <t>6. Columna seca</t>
  </si>
  <si>
    <t>7. Sistemas fijos (**)</t>
  </si>
  <si>
    <t>8. Sistema de control de humos y calor (SCTEH)</t>
  </si>
  <si>
    <t>9. Alumbrado de emergencia</t>
  </si>
  <si>
    <t>10. Señalización</t>
  </si>
  <si>
    <t>Detección automática</t>
  </si>
  <si>
    <t>Pulsadores manuales</t>
  </si>
  <si>
    <t>Comunicación de alarma</t>
  </si>
  <si>
    <t>Hidrantes para llenado de camiones</t>
  </si>
  <si>
    <t>Hidrantes de impulsión directa</t>
  </si>
  <si>
    <t>EXIGENCIA</t>
  </si>
  <si>
    <t>EXISTENTE</t>
  </si>
  <si>
    <t>(*) Siempre que se requiera dar servicio a sistemas de PCI (BIEs, hidrantes, rociadores u otros sistemas fijos). Caudal y tiempo de autonomía según Tabla 3.3.3.</t>
  </si>
  <si>
    <t>(**)  Sistemas de rociadores o, si aplica, otro sistema fijo (sistema de agua pulverizada, de espuma física, de polvo o de gas).</t>
  </si>
  <si>
    <t>(***) En el caso de que la distancia se vea corregida por los factores descritos, estos factores ya han sido aplicados sobre la distancia mostrada</t>
  </si>
  <si>
    <t>Edifcio 1</t>
  </si>
  <si>
    <t>Sector 1</t>
  </si>
  <si>
    <t>En caso de no existir combustibles liquidos en el establecimiento, no necesita extintores porttiles</t>
  </si>
  <si>
    <t>21A</t>
  </si>
  <si>
    <t>CALCULADO: 10/11/2025 11:10:34</t>
  </si>
  <si>
    <t>Camaleonica</t>
  </si>
  <si>
    <t>RapContraElracismo</t>
  </si>
  <si>
    <t>La casa buena</t>
  </si>
  <si>
    <t>ORIGEN</t>
  </si>
  <si>
    <t>TOKEN_ID</t>
  </si>
  <si>
    <t>CONFIG</t>
  </si>
  <si>
    <t>TEXTO</t>
  </si>
  <si>
    <t>PRIORIDAD</t>
  </si>
  <si>
    <t>MULTI</t>
  </si>
  <si>
    <t>ESCAPE_RTF</t>
  </si>
  <si>
    <t>ES_REGEX</t>
  </si>
  <si>
    <t>ACTIVO</t>
  </si>
  <si>
    <t>SCALAR</t>
  </si>
  <si>
    <t>{NRI}</t>
  </si>
  <si>
    <t>{CONFIGURACION}</t>
  </si>
  <si>
    <t>{EMPRESA}</t>
  </si>
  <si>
    <t>TOKEN</t>
  </si>
  <si>
    <t>BAJO 1</t>
  </si>
  <si>
    <t>BAJO 2</t>
  </si>
  <si>
    <t>MEDIO 3</t>
  </si>
  <si>
    <t>MEDIO 4</t>
  </si>
  <si>
    <t>MEDIO 5</t>
  </si>
  <si>
    <t>ALTO 6</t>
  </si>
  <si>
    <t>ALTO 7</t>
  </si>
  <si>
    <t>ALTO 8</t>
  </si>
  <si>
    <t>CONFIGURACIÓN</t>
  </si>
  <si>
    <t>{ACTIVIDAD}</t>
  </si>
  <si>
    <t xml:space="preserve">{DIRECCIONEMPRESA} </t>
  </si>
  <si>
    <t>{DOCUMENTACIONCLIENTE}</t>
  </si>
  <si>
    <t xml:space="preserve">Documentacion Recibida </t>
  </si>
  <si>
    <t>{UBICACIONCATASTRAL}</t>
  </si>
  <si>
    <t>{LINDENORTE}</t>
  </si>
  <si>
    <t>{LINDEESTE}</t>
  </si>
  <si>
    <t>{LINDESUR}</t>
  </si>
  <si>
    <t>{LINDEOESTE}</t>
  </si>
  <si>
    <t>{VISITA}</t>
  </si>
  <si>
    <t>Visita</t>
  </si>
  <si>
    <t>A continuación, se detallan las superficies de cada edificio, planta o local, según la documentación recibida y las comprobaciones realizadas durante la visita a la instalación:</t>
  </si>
  <si>
    <t>{ESTRUCTURAEDIFICIO}</t>
  </si>
  <si>
    <t>{DOCUMENTACION}</t>
  </si>
  <si>
    <t>Documentacion</t>
  </si>
  <si>
    <t>Si hay mas de una linea de documentación, maquetar en la celda todas juntas y comprobar en la memoria generada</t>
  </si>
  <si>
    <t>{CODIGO}</t>
  </si>
  <si>
    <t>“El establecimiento industrial ocupa totalmente un edificio, o varios, en su caso, que está a una distancia mayor de tres metros del edificio más próximo de otros establecimientos. Dicha distancia deberá estar libre de mercancías combustibles o elementos intermedios susceptibles de propagar el incendio</t>
  </si>
  <si>
    <t>DESCRIPCIONTECNICAESTABLECIMIENTO</t>
  </si>
  <si>
    <t>TXT</t>
  </si>
  <si>
    <t>El establecimiento considerado ocupa parcialmente un edificio que tiene, además, otros establecimientos, ya sean estos de uso industrial o de otros usos. Dentro de la configuración tipo A, en función de la parte del edificio que esté ocupada por el establecimiento considerado, se diferenciará entre tipo AV o AH, según si la separación de dicho establecimiento con los otros establecimientos del edificio se hace en vertical o en horizontal, en la configuración AV esta separación es en vertical</t>
  </si>
  <si>
    <t>El establecimiento considerado ocupa parcialmente un edificio que tiene, además, otros establecimientos, ya sean estos de uso industrial o de otros usos. Dentro de la configuración tipo A, en función de la parte del edificio que esté ocupada por el establecimiento considerado, se diferenciará entre tipo AV o AH, según si la separación de dicho establecimiento con los otros establecimientos del edificio se hace en vertical o en horizontal, en la configuración AH esta separación es en horizontal</t>
  </si>
  <si>
    <t>El establecimiento considerado ocupa totalmente un edificio, con estructura portante y cerramiento independiente, que es adyacente a otro, u otros, edificios de otro establecimiento; o bien, está a una distancia de separación igual o inferior a tres metros de otro, u otros, edificios de otro establecimiento, ya sean estos de uso industrial o de otros usos</t>
  </si>
  <si>
    <t>El establecimiento considerado ocupa un espacio abierto. El espacio abierto puede estar descubierto, o bien, cubierto por estructuras que 
carecen total o parcialmente de cerramientos laterales</t>
  </si>
  <si>
    <t>{OBRASPREVISTAS}</t>
  </si>
  <si>
    <t>Codigo</t>
  </si>
  <si>
    <t>Obras Previstas</t>
  </si>
  <si>
    <t>Área</t>
  </si>
  <si>
    <t>Suelo Área</t>
  </si>
  <si>
    <t>{AREA}</t>
  </si>
  <si>
    <t>{SUELOAREA}</t>
  </si>
  <si>
    <t>{TRABAJOSCUBIERTA}</t>
  </si>
  <si>
    <t>{FACHADAEDIFICIO}</t>
  </si>
  <si>
    <t>{CUBIERTAEDIFICIO}</t>
  </si>
  <si>
    <t>{EVACUACIONZONAS}</t>
  </si>
  <si>
    <t xml:space="preserve">{PERSONAS} </t>
  </si>
  <si>
    <t>{OCUPACION}</t>
  </si>
  <si>
    <t>{CUMPLESALIDAS}</t>
  </si>
  <si>
    <t>CUMPLE</t>
  </si>
  <si>
    <t>{OBRASEVACUACION}</t>
  </si>
  <si>
    <t>{PUERTAPEATONAL}</t>
  </si>
  <si>
    <t>{PUERTAEVACUACION}</t>
  </si>
  <si>
    <t>{OBRASPUERTAS}</t>
  </si>
  <si>
    <t>{OBRASPASILLOS}</t>
  </si>
  <si>
    <t>{CARESCALERAS}</t>
  </si>
  <si>
    <t>{PROTESCALERAS}</t>
  </si>
  <si>
    <t>{ACCESOPUBLICO}</t>
  </si>
  <si>
    <t>{MANIOBRASPERIMETRO}</t>
  </si>
  <si>
    <t>{MATERIALESTRUCTURA}</t>
  </si>
  <si>
    <t>{MATERIALFORJADO}</t>
  </si>
  <si>
    <t>1.º Actividades de fabricación y otros procesos similares, tales como producción, 
transformación, reparación u otras distintas al almacenamiento, en los siguientes casos: 
En configuraciones de tipo AV o AH: 
Sectores con superficie construida de 300 m2 o superior. 
2.º Actividades de almacenamiento, en los siguientes casos:
En configuraciones de tipo AV o AH: 
Cuando no sean exigibles los sistemas citados, se instalarán sistemas de detección y de alarma con, al menos, dispositivos para la activación manual (pulsadores manuales) en los sectores de incendio que tengan una superficie construida de 400 m2 o superior.</t>
  </si>
  <si>
    <t>1.º Actividades de fabricación y otros procesos similares, tales como producción, 
transformación, reparación u otras distintas al almacenamiento, en los siguientes casos: 
En configuraciones de tipo B: 
a)	Sectores con nivel de riesgo intrínseco bajo (excepto los de riesgo bajo nivel 1) y superficie construida de 3.000 m2 o superior. 
b)	Sectores con nivel de riesgo intrínseco medio y superficie construida de 2.000 m2 o superior.
c)	Sectores con nivel de riesgo intrínseco alto y superficie construida de 1.000 m2 o superior
2.º Actividades de almacenamiento, en los siguientes casos:
En configuraciones de tipo B: 
a)	Sectores con nivel de riesgo intrínseco bajo (excepto los de riesgo bajo nivel 1) y superficie construida de 1.500 m2 o superior. 
b)	Sectores con nivel de riesgo intrínseco medio y superficie construida de 1.000 m2 o superior.
c)	Sectores con nivel de riesgo intrínseco alto y superficie construida de 500 m2 o superior
Cuando no sean exigibles los sistemas citados, se instalarán sistemas de detección y de alarma con, al menos, dispositivos para la activación manual (pulsadores manuales) en los sectores de incendio que tengan una superficie construida de 400 m2 o superior.</t>
  </si>
  <si>
    <t>CONFIGURACIONBIE</t>
  </si>
  <si>
    <t>Se instalarán sistemas de bocas de incendio equipadas (BIE) en los sectores de incendio, en los siguientes casos: 
En configuraciones de tipo AV: 
Sectores de superficie construida de 300 m2 o superior.
En el caso de sectores dedicados exclusivamente a albergar equipos eléctricos o electrónicos, se admitirá que las BIE estén colocadas en su exterior cerca de la entrada, de forma que puedan alcanzar el interior, o bien, que no se disponga de BIE siempre que existan sistemas fijos de extinción automática adaptados a este tipo de riesgo.</t>
  </si>
  <si>
    <t>Se instalarán sistemas de bocas de incendio equipadas (BIE) en los sectores de incendio, en los siguientes casos: 
En configuraciones de tipo AH o B: 
a)	Sectores con nivel de riesgo intrínseco medio y superficie construida de 500 m2 o superior.
b)	Sectores con nivel de riesgo intrínseco alto y superficie construida de 200 m2 o superior. 
En el caso de sectores dedicados exclusivamente a albergar equipos eléctricos o electrónicos, se admitirá que las BIE estén colocadas en su exterior cerca de la entrada, de forma que puedan alcanzar el interior, o bien, que no se disponga de BIE siempre que existan sistemas fijos de extinción automática adaptados a este tipo de riesgo.</t>
  </si>
  <si>
    <t>Se instalarán sistemas de bocas de incendio equipadas (BIE) en los sectores de incendio, en los siguientes casos: 
En configuraciones de tipo C:
a)	Sectores con nivel de riesgo intrínseco medio y superficie construida de 1.000 m2 o superior.
b)	Sectores con nivel de riesgo intrínseco alto y superficie construida de 500 m2 o superior. 
En el caso de sectores dedicados exclusivamente a albergar equipos eléctricos o electrónicos, se admitirá que las BIE estén colocadas en su exterior cerca de la entrada, de forma que puedan alcanzar el interior, o bien, que no se disponga de BIE siempre que existan sistemas fijos de extinción automática adaptados a este tipo de riesgo.</t>
  </si>
  <si>
    <t>CONFIGURACIONEXTINCION</t>
  </si>
  <si>
    <t>CONFIGURACIONDETECCION</t>
  </si>
  <si>
    <t>{TIPOBIE}</t>
  </si>
  <si>
    <t>1.º Actividades de fabricación y otros procesos similares, tales como producción, 
transformación, reparación u otras distintas al almacenamiento, en los siguientes casos: 
En configuraciones de tipo C: 
a)	Sectores con nivel de riesgo intrínseco bajo (excepto los de riesgo bajo nivel 1) y superficie construida de 4.000 m2 o superior. 
b)	Sectores con nivel de riesgo intrínseco medio y superficie construida de 3.000 m2 o superior. 
c)	Sectores con nivel de riesgo intrínseco alto y superficie construida de 2.000 m2 o superior.
2.º Actividades de almacenamiento, en los siguientes casos:
En configuraciones de tipo C: 
a)	 Sectores con nivel de riesgo intrínseco bajo (excepto los de riesgo bajo nivel 1) y superficie construida de 3.000 m2 o superior. 
b)	Sectores con nivel de riesgo intrínseco medio y superficie construida de 1.500 m2 o superior. 
c)	Sectores con nivel de riesgo intrínseco alto y superficie construida de 800 m2 o superior. 
Cuando no sean exigibles los sistemas citados, se instalarán sistemas de detección y de alarma con, al menos, dispositivos para la activación manual (pulsadores manuales) en los sectores de incendio que tengan una superficie construida de 400 m2 o superior.</t>
  </si>
  <si>
    <t>{DESCRIPCIONHIDRANTES}</t>
  </si>
  <si>
    <t>{EXTINTORESPROPUESTOS}</t>
  </si>
  <si>
    <t>{SISTEMABIE}</t>
  </si>
  <si>
    <t xml:space="preserve">Se instalarán sistemas fijos de extinción automática, tales como sistemas de rociadores automáticos, en los sectores de incendio cuando en ellos se desarrollen: 
1.º Actividades de fabricación y otros procesos similares, tales como producción, transformación, reparación u otras distintas al almacenamiento, en los siguientes casos: 
En configuraciones de tipo AV: Sectores con nivel de riesgo intrínseco medio y superficie construida de 500 m2 o superior. 
2.º Actividades de almacenamiento, en los siguientes casos:
En configuraciones de tipo AV: 
Sectores con nivel de riesgo intrínseco medio y superficie construida de 300 m2 o superior. </t>
  </si>
  <si>
    <t xml:space="preserve">
Se instalarán sistemas fijos de extinción automática, tales como sistemas de rociadores automáticos, en los sectores de incendio cuando en ellos se desarrollen: 
1.º Actividades de fabricación y otros procesos similares, tales como producción, transformación, reparación u otras distintas al almacenamiento, en los siguientes casos: 
En configuraciones de tipo AH: 
a)	Sectores con nivel de riesgo intrínseco medio y superficie construida de 1.500 m2 o superior.
b)	Sectores con nivel de riesgo intrínseco alto y superficie construida de 750 m2 o superior. 
2.º Actividades de almacenamiento, en los siguientes casos:
En configuraciones de tipo AH:
a)	Sectores con nivel de riesgo intrínseco medio y superficie construida de 1.000 m2 o superior. 
b)	Sectores con nivel de riesgo intrínseco alto y superficie construida de 600 m2 o superior. </t>
  </si>
  <si>
    <t xml:space="preserve">
Se instalarán sistemas fijos de extinción automática, tales como sistemas de rociadores automáticos, en los sectores de incendio cuando en ellos se desarrollen: 
1.º Actividades de fabricación y otros procesos similares, tales como producción, transformación, reparación u otras distintas al almacenamiento, en los siguientes casos: 
En configuraciones de tipo B:
a)	Sectores con nivel de riesgo intrínseco medio y superficie construida de 2.500 m2 o superior.Sectores con nivel de riesgo intrínseco alto y superficie construida de 1.000 m2 o superior.
2.º Actividades de almacenamiento, en los siguientes casos:
En configuraciones de tipo B: 
a)	Sectores con nivel de riesgo intrínseco medio y superficie construida de 1.500 m2 o superior. 
b)	Sectores con nivel de riesgo intrínseco alto y superficie construida de 800 m2 o superior. </t>
  </si>
  <si>
    <t>Se instalarán sistemas fijos de extinción automática, tales como sistemas de rociadores automáticos, en los sectores de incendio cuando en ellos se desarrollen: 
1.º Actividades de fabricación y otros procesos similares, tales como producción, transformación, reparación u otras distintas al almacenamiento, en los siguientes casos: 
En configuraciones de tipo C: 
a)	Sectores con nivel de riesgo intrínseco medio y superficie construida de 3.500 m2 o superior. 
b)	Sectores con nivel de riesgo intrínseco alto y superficie construida de 2.000 m2 o superior. 
2.º Actividades de almacenamiento, en los siguientes casos:
En configuraciones de tipo C: 
a)	Sectores con nivel de riesgo intrínseco medio y superficie construida de 2.000 m2 o superior. 
b)	Sectores con nivel de riesgo intrínseco alto y superficie construida de 1.000 m2 o superior.</t>
  </si>
  <si>
    <t>{ILUMINACIONPROPUESTA}</t>
  </si>
  <si>
    <t>{FECHAUBICACION}</t>
  </si>
  <si>
    <t>Las necesarias</t>
  </si>
  <si>
    <t>Grande</t>
  </si>
  <si>
    <t>con las ortigas del bosque</t>
  </si>
  <si>
    <t>Edifcio 2</t>
  </si>
  <si>
    <t>Sector 2</t>
  </si>
  <si>
    <t>MODIFICADO: 13/11/2025 13:51:38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</si>
</sst>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9"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b/>
      <sz val="12"/>
      <color rgb="FFFFFFFF"/>
      <name val="Century Gothic"/>
      <family val="2"/>
    </font>
    <font>
      <sz val="11"/>
      <name val="Calibri"/>
      <family val="2"/>
    </font>
    <font>
      <b/>
      <sz val="12"/>
      <color theme="1"/>
      <name val="Century Gothic"/>
      <family val="2"/>
    </font>
    <font>
      <b/>
      <sz val="11"/>
      <color theme="1"/>
      <name val="Calibri"/>
      <family val="2"/>
    </font>
    <font>
      <sz val="10"/>
      <color theme="1"/>
      <name val="Century Gothic"/>
      <family val="2"/>
    </font>
    <font>
      <sz val="11"/>
      <color theme="1"/>
      <name val="Century Gothic"/>
      <family val="2"/>
    </font>
    <font>
      <sz val="11"/>
      <color theme="1"/>
      <name val="Calibri"/>
      <family val="2"/>
    </font>
    <font>
      <b/>
      <sz val="12"/>
      <color theme="0"/>
      <name val="Century Gothic"/>
      <family val="2"/>
    </font>
    <font>
      <u/>
      <sz val="11"/>
      <color theme="1"/>
      <name val="Calibri"/>
      <family val="2"/>
    </font>
    <font>
      <sz val="11"/>
      <color theme="1"/>
      <name val="Calibri"/>
      <family val="2"/>
      <scheme val="minor"/>
    </font>
    <font>
      <sz val="14"/>
      <color rgb="FF404040"/>
      <name val="Century Gothic"/>
      <family val="2"/>
    </font>
    <font>
      <sz val="11"/>
      <color rgb="FF404040"/>
      <name val="Century Gothic"/>
      <family val="2"/>
    </font>
    <font>
      <b/>
      <sz val="8"/>
      <color rgb="FF000000"/>
      <name val="Arial"/>
      <family val="2"/>
    </font>
    <font>
      <sz val="8"/>
      <color rgb="FF000000"/>
      <name val="Times New Roman"/>
      <family val="1"/>
    </font>
    <font>
      <sz val="11"/>
      <color rgb="FF000000"/>
      <name val="Calibri"/>
      <family val="2"/>
    </font>
    <font>
      <b/>
      <sz val="11"/>
      <color rgb="FF000000"/>
      <name val="Calibri"/>
      <family val="2"/>
    </font>
    <font>
      <sz val="10"/>
      <color rgb="FF000000"/>
      <name val="Times New Roman"/>
      <family val="1"/>
    </font>
    <font>
      <b/>
      <sz val="18"/>
      <color theme="1"/>
      <name val="Century Gothic"/>
      <family val="2"/>
    </font>
    <font>
      <b/>
      <sz val="10"/>
      <color theme="1"/>
      <name val="Century Gothic"/>
      <family val="2"/>
    </font>
    <font>
      <b/>
      <sz val="14"/>
      <color theme="1"/>
      <name val="Calibri"/>
      <family val="2"/>
    </font>
    <font>
      <sz val="9"/>
      <color theme="1"/>
      <name val="Century Gothic"/>
      <family val="2"/>
    </font>
    <font>
      <b/>
      <sz val="14"/>
      <color rgb="FF404040"/>
      <name val="Century Gothic"/>
      <family val="2"/>
    </font>
    <font>
      <b/>
      <sz val="11"/>
      <color rgb="FF404040"/>
      <name val="Century Gothic"/>
      <family val="2"/>
    </font>
    <font>
      <b/>
      <sz val="6"/>
      <color rgb="FF000000"/>
      <name val="Arial"/>
      <family val="2"/>
    </font>
    <font>
      <b/>
      <sz val="5"/>
      <color rgb="FF000000"/>
      <name val="Calibri"/>
      <family val="2"/>
    </font>
    <font>
      <sz val="8"/>
      <color rgb="FF000000"/>
      <name val="Calibri"/>
      <family val="2"/>
    </font>
    <font>
      <sz val="5"/>
      <color rgb="FF000000"/>
      <name val="Calibri"/>
      <family val="2"/>
    </font>
    <font>
      <sz val="6"/>
      <color rgb="FF000000"/>
      <name val="Calibri"/>
      <family val="2"/>
    </font>
    <font>
      <b/>
      <sz val="10"/>
      <color rgb="FF000000"/>
      <name val="Times New Roman"/>
      <family val="1"/>
    </font>
    <font>
      <sz val="7"/>
      <color rgb="FF000000"/>
      <name val="Times New Roman"/>
      <family val="1"/>
    </font>
    <font>
      <sz val="5"/>
      <color rgb="FF000000"/>
      <name val="Times New Roman"/>
      <family val="1"/>
    </font>
    <font>
      <sz val="11"/>
      <color theme="1"/>
      <name val="Aptos Narrow"/>
      <family val="2"/>
    </font>
    <font>
      <sz val="10"/>
      <color theme="1"/>
      <name val="Aptos Narrow"/>
      <family val="2"/>
    </font>
    <font>
      <b/>
      <sz val="10"/>
      <color theme="1"/>
      <name val="Calibri"/>
      <family val="2"/>
    </font>
    <font>
      <b/>
      <sz val="8"/>
      <color theme="1"/>
      <name val="Century Gothic"/>
      <family val="2"/>
    </font>
  </fonts>
  <fills count="20">
    <fill>
      <patternFill patternType="none"/>
    </fill>
    <fill>
      <patternFill patternType="gray125"/>
    </fill>
    <fill>
      <patternFill patternType="solid">
        <fgColor rgb="FF8EAADB"/>
        <bgColor rgb="FF8EAADB"/>
      </patternFill>
    </fill>
    <fill>
      <patternFill patternType="solid">
        <fgColor rgb="FFD8D8D8"/>
        <bgColor rgb="FFD8D8D8"/>
      </patternFill>
    </fill>
    <fill>
      <patternFill patternType="solid">
        <fgColor rgb="FFFBE4D5"/>
        <bgColor rgb="FFFBE4D5"/>
      </patternFill>
    </fill>
    <fill>
      <patternFill patternType="solid">
        <fgColor rgb="FFC5E0B3"/>
        <bgColor rgb="FFC5E0B3"/>
      </patternFill>
    </fill>
    <fill>
      <patternFill patternType="solid">
        <fgColor rgb="FFD32F2F"/>
        <bgColor rgb="FFD32F2F"/>
      </patternFill>
    </fill>
    <fill>
      <patternFill patternType="solid">
        <fgColor theme="0"/>
        <bgColor theme="0"/>
      </patternFill>
    </fill>
    <fill>
      <patternFill patternType="solid">
        <fgColor rgb="FFDEEAF6"/>
        <bgColor rgb="FFDEEAF6"/>
      </patternFill>
    </fill>
    <fill>
      <patternFill patternType="solid">
        <fgColor rgb="FF7F7F7F"/>
        <bgColor rgb="FF7F7F7F"/>
      </patternFill>
    </fill>
    <fill>
      <patternFill patternType="solid">
        <fgColor rgb="FF9CC2E5"/>
        <bgColor rgb="FF9CC2E5"/>
      </patternFill>
    </fill>
    <fill>
      <patternFill patternType="solid">
        <fgColor rgb="FFEDEDED"/>
        <bgColor rgb="FFEDEDED"/>
      </patternFill>
    </fill>
    <fill>
      <patternFill patternType="solid">
        <fgColor rgb="FFECECEC"/>
        <bgColor rgb="FFECECEC"/>
      </patternFill>
    </fill>
    <fill>
      <patternFill patternType="solid">
        <fgColor rgb="FFE7E6E6"/>
        <bgColor rgb="FFE7E6E6"/>
      </patternFill>
    </fill>
    <fill>
      <patternFill patternType="solid">
        <fgColor rgb="FFFFFF00"/>
        <bgColor rgb="FFFFFF00"/>
      </patternFill>
    </fill>
    <fill>
      <patternFill patternType="solid">
        <fgColor rgb="FF92D050"/>
        <bgColor rgb="FF92D050"/>
      </patternFill>
    </fill>
    <fill>
      <patternFill patternType="solid">
        <fgColor rgb="FFBFBFBF"/>
        <bgColor rgb="FFBFBFBF"/>
      </patternFill>
    </fill>
    <fill>
      <patternFill patternType="solid">
        <fgColor rgb="FF43A047"/>
        <bgColor rgb="FFD32F2F"/>
      </patternFill>
    </fill>
    <fill>
      <patternFill patternType="solid">
        <fgColor theme="2" tint="-0.249977111117893"/>
        <bgColor indexed="64"/>
      </patternFill>
    </fill>
    <fill>
      <patternFill patternType="solid">
        <fgColor theme="3" tint="0.34998626667073579"/>
        <bgColor indexed="64"/>
      </patternFill>
    </fill>
  </fills>
  <borders count="167">
    <border>
      <left/>
      <right/>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right/>
      <top style="medium">
        <color rgb="FF000000"/>
      </top>
      <bottom/>
      <diagonal/>
    </border>
    <border>
      <left style="medium">
        <color rgb="FF000000"/>
      </left>
      <right style="medium">
        <color rgb="FF000000"/>
      </right>
      <top style="medium">
        <color rgb="FF000000"/>
      </top>
      <bottom style="medium">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medium">
        <color rgb="FF000000"/>
      </left>
      <right style="medium">
        <color rgb="FF000000"/>
      </right>
      <top/>
      <bottom style="thin">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top style="thin">
        <color rgb="FF000000"/>
      </top>
      <bottom style="medium">
        <color rgb="FF000000"/>
      </bottom>
      <diagonal/>
    </border>
    <border>
      <left style="medium">
        <color rgb="FF000000"/>
      </left>
      <right style="medium">
        <color rgb="FF000000"/>
      </right>
      <top style="thin">
        <color rgb="FF000000"/>
      </top>
      <bottom style="thin">
        <color rgb="FF000000"/>
      </bottom>
      <diagonal/>
    </border>
    <border>
      <left style="medium">
        <color rgb="FF000000"/>
      </left>
      <right/>
      <top/>
      <bottom/>
      <diagonal/>
    </border>
    <border>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top style="thin">
        <color rgb="FF000000"/>
      </top>
      <bottom/>
      <diagonal/>
    </border>
    <border>
      <left/>
      <right/>
      <top style="medium">
        <color rgb="FF000000"/>
      </top>
      <bottom/>
      <diagonal/>
    </border>
    <border>
      <left style="medium">
        <color rgb="FF000000"/>
      </left>
      <right style="thin">
        <color rgb="FF000000"/>
      </right>
      <top style="thin">
        <color rgb="FF000000"/>
      </top>
      <bottom style="thin">
        <color rgb="FF000000"/>
      </bottom>
      <diagonal/>
    </border>
    <border>
      <left/>
      <right style="medium">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rgb="FF000000"/>
      </left>
      <right style="medium">
        <color rgb="FF000000"/>
      </right>
      <top/>
      <bottom/>
      <diagonal/>
    </border>
    <border>
      <left style="thin">
        <color rgb="FF000000"/>
      </left>
      <right style="medium">
        <color rgb="FF000000"/>
      </right>
      <top style="thin">
        <color rgb="FF000000"/>
      </top>
      <bottom style="thin">
        <color rgb="FF000000"/>
      </bottom>
      <diagonal/>
    </border>
    <border>
      <left/>
      <right style="thin">
        <color rgb="FF000000"/>
      </right>
      <top/>
      <bottom/>
      <diagonal/>
    </border>
    <border>
      <left style="medium">
        <color rgb="FF000000"/>
      </left>
      <right/>
      <top style="medium">
        <color rgb="FF000000"/>
      </top>
      <bottom/>
      <diagonal/>
    </border>
    <border>
      <left style="thin">
        <color rgb="FF000000"/>
      </left>
      <right/>
      <top style="thin">
        <color rgb="FF000000"/>
      </top>
      <bottom style="thin">
        <color rgb="FF000000"/>
      </bottom>
      <diagonal/>
    </border>
    <border>
      <left/>
      <right style="thin">
        <color rgb="FF000000"/>
      </right>
      <top style="thin">
        <color rgb="FF000000"/>
      </top>
      <bottom/>
      <diagonal/>
    </border>
    <border>
      <left style="medium">
        <color rgb="FF000000"/>
      </left>
      <right/>
      <top style="thin">
        <color rgb="FF000000"/>
      </top>
      <bottom/>
      <diagonal/>
    </border>
    <border>
      <left style="thin">
        <color rgb="FF000000"/>
      </left>
      <right style="medium">
        <color rgb="FF000000"/>
      </right>
      <top style="medium">
        <color rgb="FF000000"/>
      </top>
      <bottom style="thin">
        <color rgb="FF000000"/>
      </bottom>
      <diagonal/>
    </border>
    <border>
      <left/>
      <right style="thin">
        <color rgb="FF000000"/>
      </right>
      <top style="thin">
        <color rgb="FF000000"/>
      </top>
      <bottom style="medium">
        <color rgb="FF000000"/>
      </bottom>
      <diagonal/>
    </border>
    <border>
      <left style="medium">
        <color rgb="FF000000"/>
      </left>
      <right/>
      <top style="thin">
        <color rgb="FF000000"/>
      </top>
      <bottom style="medium">
        <color rgb="FF000000"/>
      </bottom>
      <diagonal/>
    </border>
    <border>
      <left/>
      <right/>
      <top/>
      <bottom/>
      <diagonal/>
    </border>
    <border>
      <left style="thin">
        <color rgb="FF000000"/>
      </left>
      <right style="medium">
        <color rgb="FF000000"/>
      </right>
      <top style="thin">
        <color rgb="FF000000"/>
      </top>
      <bottom style="medium">
        <color rgb="FF000000"/>
      </bottom>
      <diagonal/>
    </border>
    <border>
      <left/>
      <right style="thin">
        <color rgb="FF000000"/>
      </right>
      <top style="medium">
        <color rgb="FF000000"/>
      </top>
      <bottom style="thin">
        <color rgb="FF000000"/>
      </bottom>
      <diagonal/>
    </border>
    <border>
      <left style="medium">
        <color rgb="FF000000"/>
      </left>
      <right style="thin">
        <color rgb="FF000000"/>
      </right>
      <top style="thin">
        <color rgb="FF000000"/>
      </top>
      <bottom/>
      <diagonal/>
    </border>
    <border>
      <left style="thin">
        <color rgb="FF000000"/>
      </left>
      <right style="medium">
        <color rgb="FF000000"/>
      </right>
      <top style="thin">
        <color rgb="FF000000"/>
      </top>
      <bottom/>
      <diagonal/>
    </border>
    <border>
      <left style="thin">
        <color rgb="FF000000"/>
      </left>
      <right/>
      <top style="thin">
        <color rgb="FF000000"/>
      </top>
      <bottom/>
      <diagonal/>
    </border>
    <border>
      <left style="medium">
        <color rgb="FF000000"/>
      </left>
      <right style="medium">
        <color rgb="FF000000"/>
      </right>
      <top style="medium">
        <color rgb="FF000000"/>
      </top>
      <bottom style="thin">
        <color rgb="FF000000"/>
      </bottom>
      <diagonal/>
    </border>
    <border>
      <left style="medium">
        <color rgb="FF000000"/>
      </left>
      <right style="thin">
        <color rgb="FF000000"/>
      </right>
      <top style="medium">
        <color rgb="FF000000"/>
      </top>
      <bottom/>
      <diagonal/>
    </border>
    <border>
      <left/>
      <right style="medium">
        <color rgb="FF000000"/>
      </right>
      <top style="medium">
        <color rgb="FF000000"/>
      </top>
      <bottom/>
      <diagonal/>
    </border>
    <border>
      <left/>
      <right style="medium">
        <color rgb="FF000000"/>
      </right>
      <top/>
      <bottom/>
      <diagonal/>
    </border>
    <border>
      <left style="medium">
        <color rgb="FF000000"/>
      </left>
      <right style="thin">
        <color rgb="FF000000"/>
      </right>
      <top/>
      <bottom/>
      <diagonal/>
    </border>
    <border>
      <left/>
      <right style="medium">
        <color rgb="FF000000"/>
      </right>
      <top/>
      <bottom/>
      <diagonal/>
    </border>
    <border>
      <left style="medium">
        <color rgb="FF000000"/>
      </left>
      <right/>
      <top style="thin">
        <color rgb="FF000000"/>
      </top>
      <bottom style="thin">
        <color rgb="FF000000"/>
      </bottom>
      <diagonal/>
    </border>
    <border>
      <left style="medium">
        <color rgb="FF000000"/>
      </left>
      <right style="medium">
        <color rgb="FF000000"/>
      </right>
      <top style="thin">
        <color rgb="FF000000"/>
      </top>
      <bottom style="medium">
        <color rgb="FF000000"/>
      </bottom>
      <diagonal/>
    </border>
    <border>
      <left/>
      <right/>
      <top/>
      <bottom style="medium">
        <color rgb="FF000000"/>
      </bottom>
      <diagonal/>
    </border>
    <border>
      <left style="medium">
        <color rgb="FF000000"/>
      </left>
      <right style="thin">
        <color rgb="FF000000"/>
      </right>
      <top/>
      <bottom style="medium">
        <color rgb="FF000000"/>
      </bottom>
      <diagonal/>
    </border>
    <border>
      <left/>
      <right style="medium">
        <color rgb="FF000000"/>
      </right>
      <top style="medium">
        <color rgb="FF000000"/>
      </top>
      <bottom style="medium">
        <color rgb="FF000000"/>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top style="medium">
        <color rgb="FF000000"/>
      </top>
      <bottom style="medium">
        <color rgb="FF000000"/>
      </bottom>
      <diagonal/>
    </border>
    <border>
      <left style="medium">
        <color rgb="FF000000"/>
      </left>
      <right style="medium">
        <color rgb="FF000000"/>
      </right>
      <top style="medium">
        <color rgb="FF000000"/>
      </top>
      <bottom/>
      <diagonal/>
    </border>
    <border>
      <left style="thin">
        <color rgb="FF000000"/>
      </left>
      <right/>
      <top style="medium">
        <color rgb="FF000000"/>
      </top>
      <bottom style="thin">
        <color rgb="FF000000"/>
      </bottom>
      <diagonal/>
    </border>
    <border>
      <left style="medium">
        <color rgb="FF000000"/>
      </left>
      <right style="thin">
        <color rgb="FF000000"/>
      </right>
      <top/>
      <bottom style="thin">
        <color rgb="FF000000"/>
      </bottom>
      <diagonal/>
    </border>
    <border>
      <left style="thin">
        <color rgb="FF000000"/>
      </left>
      <right/>
      <top style="thin">
        <color rgb="FF000000"/>
      </top>
      <bottom style="medium">
        <color rgb="FF000000"/>
      </bottom>
      <diagonal/>
    </border>
    <border>
      <left style="thin">
        <color rgb="FF000000"/>
      </left>
      <right style="medium">
        <color rgb="FF000000"/>
      </right>
      <top/>
      <bottom style="thin">
        <color rgb="FF000000"/>
      </bottom>
      <diagonal/>
    </border>
    <border>
      <left/>
      <right style="thin">
        <color rgb="FF000000"/>
      </right>
      <top style="thin">
        <color rgb="FF000000"/>
      </top>
      <bottom style="thin">
        <color rgb="FF000000"/>
      </bottom>
      <diagonal/>
    </border>
    <border>
      <left style="thin">
        <color rgb="FF000000"/>
      </left>
      <right style="medium">
        <color rgb="FF000000"/>
      </right>
      <top/>
      <bottom style="medium">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rgb="FF000000"/>
      </left>
      <right style="medium">
        <color rgb="FF000000"/>
      </right>
      <top/>
      <bottom/>
      <diagonal/>
    </border>
    <border>
      <left style="medium">
        <color rgb="FF000000"/>
      </left>
      <right style="thin">
        <color rgb="FF000000"/>
      </right>
      <top style="medium">
        <color rgb="FF000000"/>
      </top>
      <bottom style="medium">
        <color rgb="FF000000"/>
      </bottom>
      <diagonal/>
    </border>
    <border>
      <left style="thin">
        <color rgb="FF000000"/>
      </left>
      <right style="thin">
        <color rgb="FF000000"/>
      </right>
      <top style="thin">
        <color rgb="FF000000"/>
      </top>
      <bottom style="thin">
        <color rgb="FF000000"/>
      </bottom>
      <diagonal/>
    </border>
    <border>
      <left style="medium">
        <color rgb="FF000000"/>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medium">
        <color rgb="FF000000"/>
      </right>
      <top style="thin">
        <color rgb="FF000000"/>
      </top>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bottom style="medium">
        <color rgb="FF000000"/>
      </bottom>
      <diagonal/>
    </border>
    <border>
      <left/>
      <right style="medium">
        <color rgb="FF000000"/>
      </right>
      <top style="thin">
        <color rgb="FF000000"/>
      </top>
      <bottom style="medium">
        <color rgb="FF000000"/>
      </bottom>
      <diagonal/>
    </border>
    <border>
      <left style="thin">
        <color rgb="FF000000"/>
      </left>
      <right style="thin">
        <color rgb="FF000000"/>
      </right>
      <top style="medium">
        <color rgb="FF000000"/>
      </top>
      <bottom style="medium">
        <color rgb="FF000000"/>
      </bottom>
      <diagonal/>
    </border>
    <border>
      <left style="thin">
        <color rgb="FF000000"/>
      </left>
      <right style="medium">
        <color rgb="FF000000"/>
      </right>
      <top style="medium">
        <color rgb="FF000000"/>
      </top>
      <bottom style="medium">
        <color rgb="FF000000"/>
      </bottom>
      <diagonal/>
    </border>
    <border>
      <left style="medium">
        <color rgb="FF000000"/>
      </left>
      <right/>
      <top/>
      <bottom/>
      <diagonal/>
    </border>
    <border>
      <left/>
      <right/>
      <top/>
      <bottom/>
      <diagonal/>
    </border>
    <border>
      <left style="medium">
        <color rgb="FF000000"/>
      </left>
      <right/>
      <top style="medium">
        <color rgb="FF000000"/>
      </top>
      <bottom style="thin">
        <color rgb="FF000000"/>
      </bottom>
      <diagonal/>
    </border>
    <border>
      <left/>
      <right style="medium">
        <color rgb="FF000000"/>
      </right>
      <top style="thin">
        <color rgb="FF000000"/>
      </top>
      <bottom style="thin">
        <color rgb="FF000000"/>
      </bottom>
      <diagonal/>
    </border>
    <border>
      <left style="medium">
        <color rgb="FF000000"/>
      </left>
      <right/>
      <top/>
      <bottom/>
      <diagonal/>
    </border>
    <border>
      <left style="medium">
        <color rgb="FF000000"/>
      </left>
      <right style="medium">
        <color rgb="FF000000"/>
      </right>
      <top/>
      <bottom style="medium">
        <color rgb="FF000000"/>
      </bottom>
      <diagonal/>
    </border>
    <border>
      <left style="medium">
        <color rgb="FF000000"/>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style="medium">
        <color rgb="FF000000"/>
      </right>
      <top/>
      <bottom style="thin">
        <color rgb="FF000000"/>
      </bottom>
      <diagonal/>
    </border>
    <border>
      <left style="medium">
        <color rgb="FF000000"/>
      </left>
      <right style="thin">
        <color rgb="FF000000"/>
      </right>
      <top/>
      <bottom/>
      <diagonal/>
    </border>
    <border>
      <left style="thin">
        <color rgb="FF000000"/>
      </left>
      <right style="medium">
        <color rgb="FF000000"/>
      </right>
      <top/>
      <bottom/>
      <diagonal/>
    </border>
    <border>
      <left style="medium">
        <color rgb="FF000000"/>
      </left>
      <right style="thin">
        <color rgb="FF000000"/>
      </right>
      <top/>
      <bottom style="medium">
        <color rgb="FF000000"/>
      </bottom>
      <diagonal/>
    </border>
    <border>
      <left style="thin">
        <color rgb="FF000000"/>
      </left>
      <right style="medium">
        <color rgb="FF000000"/>
      </right>
      <top/>
      <bottom style="medium">
        <color rgb="FF000000"/>
      </bottom>
      <diagonal/>
    </border>
    <border>
      <left style="thin">
        <color rgb="FF000000"/>
      </left>
      <right style="thin">
        <color rgb="FF000000"/>
      </right>
      <top/>
      <bottom style="medium">
        <color rgb="FF000000"/>
      </bottom>
      <diagonal/>
    </border>
    <border>
      <left style="thin">
        <color rgb="FF000000"/>
      </left>
      <right style="thin">
        <color rgb="FF000000"/>
      </right>
      <top style="medium">
        <color rgb="FF000000"/>
      </top>
      <bottom/>
      <diagonal/>
    </border>
    <border>
      <left style="thin">
        <color rgb="FF000000"/>
      </left>
      <right style="medium">
        <color rgb="FF000000"/>
      </right>
      <top style="medium">
        <color rgb="FF000000"/>
      </top>
      <bottom/>
      <diagonal/>
    </border>
    <border>
      <left style="medium">
        <color rgb="FF000000"/>
      </left>
      <right style="medium">
        <color rgb="FF000000"/>
      </right>
      <top/>
      <bottom/>
      <diagonal/>
    </border>
    <border>
      <left style="medium">
        <color rgb="FF000000"/>
      </left>
      <right style="thin">
        <color rgb="FF333333"/>
      </right>
      <top style="medium">
        <color rgb="FF000000"/>
      </top>
      <bottom style="thin">
        <color rgb="FF333333"/>
      </bottom>
      <diagonal/>
    </border>
    <border>
      <left style="thin">
        <color rgb="FF333333"/>
      </left>
      <right style="thin">
        <color rgb="FF333333"/>
      </right>
      <top style="medium">
        <color rgb="FF000000"/>
      </top>
      <bottom style="thin">
        <color rgb="FF333333"/>
      </bottom>
      <diagonal/>
    </border>
    <border>
      <left style="thin">
        <color rgb="FF333333"/>
      </left>
      <right style="medium">
        <color rgb="FF000000"/>
      </right>
      <top style="medium">
        <color rgb="FF000000"/>
      </top>
      <bottom style="thin">
        <color rgb="FF333333"/>
      </bottom>
      <diagonal/>
    </border>
    <border>
      <left style="medium">
        <color rgb="FF000000"/>
      </left>
      <right style="thin">
        <color rgb="FF333333"/>
      </right>
      <top style="medium">
        <color rgb="FF000000"/>
      </top>
      <bottom/>
      <diagonal/>
    </border>
    <border>
      <left style="thin">
        <color rgb="FF333333"/>
      </left>
      <right style="medium">
        <color rgb="FF000000"/>
      </right>
      <top style="medium">
        <color rgb="FF000000"/>
      </top>
      <bottom/>
      <diagonal/>
    </border>
    <border>
      <left style="medium">
        <color rgb="FF000000"/>
      </left>
      <right style="thin">
        <color rgb="FF333333"/>
      </right>
      <top style="medium">
        <color rgb="FF000000"/>
      </top>
      <bottom style="medium">
        <color rgb="FF000000"/>
      </bottom>
      <diagonal/>
    </border>
    <border>
      <left style="thin">
        <color rgb="FF333333"/>
      </left>
      <right style="thin">
        <color rgb="FF333333"/>
      </right>
      <top style="medium">
        <color rgb="FF000000"/>
      </top>
      <bottom style="medium">
        <color rgb="FF000000"/>
      </bottom>
      <diagonal/>
    </border>
    <border>
      <left style="thin">
        <color rgb="FF333333"/>
      </left>
      <right style="medium">
        <color rgb="FF000000"/>
      </right>
      <top style="medium">
        <color rgb="FF000000"/>
      </top>
      <bottom style="medium">
        <color rgb="FF000000"/>
      </bottom>
      <diagonal/>
    </border>
    <border>
      <left style="medium">
        <color rgb="FF000000"/>
      </left>
      <right/>
      <top/>
      <bottom style="thin">
        <color rgb="FF000000"/>
      </bottom>
      <diagonal/>
    </border>
    <border>
      <left style="medium">
        <color rgb="FF000000"/>
      </left>
      <right/>
      <top style="thin">
        <color rgb="FF000000"/>
      </top>
      <bottom style="thin">
        <color rgb="FF000000"/>
      </bottom>
      <diagonal/>
    </border>
    <border>
      <left style="medium">
        <color rgb="FF000000"/>
      </left>
      <right/>
      <top style="thin">
        <color rgb="FF000000"/>
      </top>
      <bottom style="medium">
        <color rgb="FF000000"/>
      </bottom>
      <diagonal/>
    </border>
    <border>
      <left style="thin">
        <color rgb="FF000000"/>
      </left>
      <right/>
      <top style="medium">
        <color rgb="FF000000"/>
      </top>
      <bottom style="medium">
        <color rgb="FF000000"/>
      </bottom>
      <diagonal/>
    </border>
    <border>
      <left style="thin">
        <color rgb="FF000000"/>
      </left>
      <right/>
      <top/>
      <bottom style="thin">
        <color rgb="FF000000"/>
      </bottom>
      <diagonal/>
    </border>
    <border>
      <left style="thin">
        <color rgb="FF333333"/>
      </left>
      <right style="thin">
        <color rgb="FF333333"/>
      </right>
      <top style="thin">
        <color rgb="FF333333"/>
      </top>
      <bottom/>
      <diagonal/>
    </border>
    <border>
      <left style="thin">
        <color rgb="FFCCCCCC"/>
      </left>
      <right style="thin">
        <color rgb="FFCCCCCC"/>
      </right>
      <top/>
      <bottom style="thin">
        <color rgb="FFCCCCCC"/>
      </bottom>
      <diagonal/>
    </border>
    <border>
      <left/>
      <right style="medium">
        <color rgb="FF000000"/>
      </right>
      <top style="medium">
        <color rgb="FF000000"/>
      </top>
      <bottom style="thin">
        <color rgb="FF000000"/>
      </bottom>
      <diagonal/>
    </border>
    <border>
      <left style="thin">
        <color rgb="FF000000"/>
      </left>
      <right style="thin">
        <color rgb="FF000000"/>
      </right>
      <top/>
      <bottom/>
      <diagonal/>
    </border>
    <border>
      <left style="medium">
        <color rgb="FF000000"/>
      </left>
      <right style="thin">
        <color rgb="FF000000"/>
      </right>
      <top style="medium">
        <color rgb="FF000000"/>
      </top>
      <bottom/>
      <diagonal/>
    </border>
    <border>
      <left style="thin">
        <color rgb="FF000000"/>
      </left>
      <right style="thin">
        <color rgb="FF000000"/>
      </right>
      <top style="medium">
        <color rgb="FF000000"/>
      </top>
      <bottom/>
      <diagonal/>
    </border>
    <border>
      <left style="thin">
        <color rgb="FF000000"/>
      </left>
      <right style="medium">
        <color rgb="FF000000"/>
      </right>
      <top style="medium">
        <color rgb="FF000000"/>
      </top>
      <bottom/>
      <diagonal/>
    </border>
    <border>
      <left style="medium">
        <color rgb="FF000000"/>
      </left>
      <right style="medium">
        <color rgb="FF000000"/>
      </right>
      <top style="medium">
        <color rgb="FF000000"/>
      </top>
      <bottom/>
      <diagonal/>
    </border>
    <border>
      <left style="medium">
        <color rgb="FF000000"/>
      </left>
      <right/>
      <top style="medium">
        <color rgb="FF000000"/>
      </top>
      <bottom style="thin">
        <color rgb="FF000000"/>
      </bottom>
      <diagonal/>
    </border>
    <border>
      <left/>
      <right style="thin">
        <color rgb="FF000000"/>
      </right>
      <top/>
      <bottom style="thin">
        <color rgb="FF000000"/>
      </bottom>
      <diagonal/>
    </border>
    <border>
      <left/>
      <right style="thin">
        <color rgb="FF000000"/>
      </right>
      <top style="thin">
        <color rgb="FF000000"/>
      </top>
      <bottom style="thin">
        <color rgb="FF000000"/>
      </bottom>
      <diagonal/>
    </border>
    <border>
      <left style="medium">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style="medium">
        <color rgb="FF000000"/>
      </right>
      <top/>
      <bottom style="thin">
        <color rgb="FF000000"/>
      </bottom>
      <diagonal/>
    </border>
    <border>
      <left/>
      <right/>
      <top style="thin">
        <color rgb="FF000000"/>
      </top>
      <bottom style="medium">
        <color rgb="FF000000"/>
      </bottom>
      <diagonal/>
    </border>
    <border>
      <left/>
      <right style="thin">
        <color rgb="FF000000"/>
      </right>
      <top style="thin">
        <color rgb="FF000000"/>
      </top>
      <bottom style="medium">
        <color rgb="FF000000"/>
      </bottom>
      <diagonal/>
    </border>
    <border>
      <left/>
      <right/>
      <top style="medium">
        <color rgb="FF000000"/>
      </top>
      <bottom style="thin">
        <color rgb="FF000000"/>
      </bottom>
      <diagonal/>
    </border>
    <border>
      <left style="medium">
        <color rgb="FF000000"/>
      </left>
      <right/>
      <top style="thin">
        <color rgb="FF000000"/>
      </top>
      <bottom/>
      <diagonal/>
    </border>
    <border>
      <left/>
      <right/>
      <top style="thin">
        <color rgb="FF000000"/>
      </top>
      <bottom/>
      <diagonal/>
    </border>
    <border>
      <left/>
      <right/>
      <top style="thin">
        <color rgb="FF000000"/>
      </top>
      <bottom style="thin">
        <color rgb="FF000000"/>
      </bottom>
      <diagonal/>
    </border>
    <border>
      <left/>
      <right/>
      <top style="thin">
        <color rgb="FF000000"/>
      </top>
      <bottom/>
      <diagonal/>
    </border>
    <border>
      <left/>
      <right style="medium">
        <color rgb="FF000000"/>
      </right>
      <top style="thin">
        <color rgb="FF000000"/>
      </top>
      <bottom/>
      <diagonal/>
    </border>
    <border>
      <left/>
      <right/>
      <top/>
      <bottom/>
      <diagonal/>
    </border>
    <border>
      <left/>
      <right style="thin">
        <color rgb="FF000000"/>
      </right>
      <top style="thin">
        <color rgb="FF000000"/>
      </top>
      <bottom/>
      <diagonal/>
    </border>
    <border>
      <left style="thin">
        <color rgb="FF000000"/>
      </left>
      <right/>
      <top/>
      <bottom/>
      <diagonal/>
    </border>
    <border>
      <left/>
      <right/>
      <top/>
      <bottom style="thin">
        <color rgb="FF000000"/>
      </bottom>
      <diagonal/>
    </border>
    <border>
      <left/>
      <right/>
      <top/>
      <bottom style="thin">
        <color rgb="FF000000"/>
      </bottom>
      <diagonal/>
    </border>
    <border>
      <left/>
      <right style="medium">
        <color rgb="FF000000"/>
      </right>
      <top/>
      <bottom style="thin">
        <color rgb="FF000000"/>
      </bottom>
      <diagonal/>
    </border>
    <border>
      <left style="medium">
        <color rgb="FF000000"/>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right/>
      <top style="thin">
        <color rgb="FF000000"/>
      </top>
      <bottom style="thin">
        <color rgb="FF000000"/>
      </bottom>
      <diagonal/>
    </border>
    <border>
      <left/>
      <right/>
      <top style="thin">
        <color rgb="FF000000"/>
      </top>
      <bottom style="thin">
        <color rgb="FF000000"/>
      </bottom>
      <diagonal/>
    </border>
    <border>
      <left/>
      <right/>
      <top style="thin">
        <color rgb="FF000000"/>
      </top>
      <bottom style="medium">
        <color rgb="FF000000"/>
      </bottom>
      <diagonal/>
    </border>
    <border>
      <left/>
      <right/>
      <top style="thin">
        <color rgb="FF000000"/>
      </top>
      <bottom/>
      <diagonal/>
    </border>
    <border>
      <left style="thin">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medium">
        <color rgb="FF000000"/>
      </left>
      <right/>
      <top/>
      <bottom style="medium">
        <color rgb="FF000000"/>
      </bottom>
      <diagonal/>
    </border>
    <border>
      <left/>
      <right style="thin">
        <color rgb="FF000000"/>
      </right>
      <top/>
      <bottom style="medium">
        <color rgb="FF000000"/>
      </bottom>
      <diagonal/>
    </border>
    <border>
      <left/>
      <right/>
      <top/>
      <bottom style="medium">
        <color rgb="FF000000"/>
      </bottom>
      <diagonal/>
    </border>
    <border>
      <left/>
      <right style="thin">
        <color rgb="FF000000"/>
      </right>
      <top/>
      <bottom/>
      <diagonal/>
    </border>
    <border>
      <left/>
      <right style="thin">
        <color rgb="FF000000"/>
      </right>
      <top style="medium">
        <color rgb="FF000000"/>
      </top>
      <bottom/>
      <diagonal/>
    </border>
    <border>
      <left/>
      <right/>
      <top style="medium">
        <color rgb="FF000000"/>
      </top>
      <bottom style="thin">
        <color rgb="FF000000"/>
      </bottom>
      <diagonal/>
    </border>
    <border>
      <left style="medium">
        <color rgb="FF000000"/>
      </left>
      <right/>
      <top/>
      <bottom style="medium">
        <color rgb="FF000000"/>
      </bottom>
      <diagonal/>
    </border>
    <border>
      <left style="medium">
        <color rgb="FF000000"/>
      </left>
      <right/>
      <top style="medium">
        <color rgb="FF000000"/>
      </top>
      <bottom/>
      <diagonal/>
    </border>
    <border>
      <left/>
      <right style="thin">
        <color rgb="FF000000"/>
      </right>
      <top style="medium">
        <color rgb="FF000000"/>
      </top>
      <bottom/>
      <diagonal/>
    </border>
    <border>
      <left/>
      <right style="thin">
        <color rgb="FF000000"/>
      </right>
      <top style="medium">
        <color rgb="FF000000"/>
      </top>
      <bottom style="thin">
        <color rgb="FF000000"/>
      </bottom>
      <diagonal/>
    </border>
    <border>
      <left style="thin">
        <color rgb="FF000000"/>
      </left>
      <right style="thin">
        <color rgb="FF000000"/>
      </right>
      <top/>
      <bottom style="medium">
        <color rgb="FF000000"/>
      </bottom>
      <diagonal/>
    </border>
    <border>
      <left/>
      <right/>
      <top style="medium">
        <color rgb="FF000000"/>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1">
    <xf numFmtId="0" fontId="0" fillId="0" borderId="0"/>
  </cellStyleXfs>
  <cellXfs count="507">
    <xf numFmtId="0" fontId="0" fillId="0" borderId="0" xfId="0"/>
    <xf numFmtId="0" fontId="6" fillId="3" borderId="4" xfId="0" applyFont="1" applyFill="1" applyBorder="1" applyAlignment="1">
      <alignment horizontal="center" vertical="center" wrapText="1"/>
    </xf>
    <xf numFmtId="0" fontId="6" fillId="3" borderId="5" xfId="0" applyFont="1" applyFill="1" applyBorder="1" applyAlignment="1">
      <alignment horizontal="center" vertical="center" wrapText="1"/>
    </xf>
    <xf numFmtId="0" fontId="7" fillId="3" borderId="6" xfId="0" applyFont="1" applyFill="1" applyBorder="1"/>
    <xf numFmtId="0" fontId="8" fillId="4" borderId="7" xfId="0" applyFont="1" applyFill="1" applyBorder="1" applyAlignment="1">
      <alignment horizontal="center"/>
    </xf>
    <xf numFmtId="0" fontId="7" fillId="3" borderId="7" xfId="0" applyFont="1" applyFill="1" applyBorder="1"/>
    <xf numFmtId="0" fontId="9" fillId="4" borderId="7" xfId="0" applyFont="1" applyFill="1" applyBorder="1" applyAlignment="1">
      <alignment horizontal="center"/>
    </xf>
    <xf numFmtId="0" fontId="9" fillId="5" borderId="8" xfId="0" applyFont="1" applyFill="1" applyBorder="1" applyAlignment="1">
      <alignment horizontal="center"/>
    </xf>
    <xf numFmtId="0" fontId="7" fillId="3" borderId="8" xfId="0" applyFont="1" applyFill="1" applyBorder="1"/>
    <xf numFmtId="0" fontId="10" fillId="0" borderId="9" xfId="0" applyFont="1" applyBorder="1"/>
    <xf numFmtId="0" fontId="7" fillId="3" borderId="10" xfId="0" applyFont="1" applyFill="1" applyBorder="1"/>
    <xf numFmtId="0" fontId="10" fillId="4" borderId="11" xfId="0" applyFont="1" applyFill="1" applyBorder="1" applyAlignment="1">
      <alignment horizontal="center" vertical="center"/>
    </xf>
    <xf numFmtId="0" fontId="7" fillId="3" borderId="11" xfId="0" applyFont="1" applyFill="1" applyBorder="1"/>
    <xf numFmtId="0" fontId="10" fillId="4" borderId="12" xfId="0" applyFont="1" applyFill="1" applyBorder="1" applyAlignment="1">
      <alignment horizontal="center" vertical="center"/>
    </xf>
    <xf numFmtId="0" fontId="10" fillId="0" borderId="13" xfId="0" applyFont="1" applyBorder="1"/>
    <xf numFmtId="0" fontId="10" fillId="4" borderId="20" xfId="0" applyFont="1" applyFill="1" applyBorder="1" applyAlignment="1">
      <alignment horizontal="center" vertical="center"/>
    </xf>
    <xf numFmtId="0" fontId="8" fillId="4" borderId="8" xfId="0" applyFont="1" applyFill="1" applyBorder="1" applyAlignment="1">
      <alignment horizontal="center"/>
    </xf>
    <xf numFmtId="0" fontId="7" fillId="3" borderId="22" xfId="0" applyFont="1" applyFill="1" applyBorder="1" applyAlignment="1">
      <alignment wrapText="1"/>
    </xf>
    <xf numFmtId="0" fontId="8" fillId="7" borderId="8" xfId="0" applyFont="1" applyFill="1" applyBorder="1" applyAlignment="1">
      <alignment horizontal="center"/>
    </xf>
    <xf numFmtId="0" fontId="7" fillId="3" borderId="6" xfId="0" applyFont="1" applyFill="1" applyBorder="1" applyAlignment="1">
      <alignment wrapText="1"/>
    </xf>
    <xf numFmtId="0" fontId="10" fillId="0" borderId="23" xfId="0" applyFont="1" applyBorder="1"/>
    <xf numFmtId="0" fontId="7" fillId="3" borderId="22" xfId="0" applyFont="1" applyFill="1" applyBorder="1"/>
    <xf numFmtId="0" fontId="8" fillId="4" borderId="24" xfId="0" applyFont="1" applyFill="1" applyBorder="1" applyAlignment="1">
      <alignment horizontal="center"/>
    </xf>
    <xf numFmtId="0" fontId="8" fillId="7" borderId="24" xfId="0" applyFont="1" applyFill="1" applyBorder="1" applyAlignment="1">
      <alignment horizontal="center"/>
    </xf>
    <xf numFmtId="0" fontId="6" fillId="8" borderId="25" xfId="0" applyFont="1" applyFill="1" applyBorder="1" applyAlignment="1">
      <alignment horizontal="center" vertical="center" wrapText="1"/>
    </xf>
    <xf numFmtId="0" fontId="10" fillId="0" borderId="0" xfId="0" applyFont="1"/>
    <xf numFmtId="0" fontId="8" fillId="4" borderId="26" xfId="0" applyFont="1" applyFill="1" applyBorder="1" applyAlignment="1">
      <alignment horizontal="center" vertical="center"/>
    </xf>
    <xf numFmtId="0" fontId="7" fillId="3" borderId="27" xfId="0" applyFont="1" applyFill="1" applyBorder="1" applyAlignment="1">
      <alignment wrapText="1"/>
    </xf>
    <xf numFmtId="0" fontId="7" fillId="3" borderId="28" xfId="0" applyFont="1" applyFill="1" applyBorder="1"/>
    <xf numFmtId="0" fontId="10" fillId="0" borderId="29" xfId="0" applyFont="1" applyBorder="1" applyAlignment="1">
      <alignment horizontal="center"/>
    </xf>
    <xf numFmtId="0" fontId="7" fillId="3" borderId="30" xfId="0" applyFont="1" applyFill="1" applyBorder="1"/>
    <xf numFmtId="0" fontId="7" fillId="3" borderId="31" xfId="0" applyFont="1" applyFill="1" applyBorder="1"/>
    <xf numFmtId="0" fontId="10" fillId="5" borderId="6" xfId="0" applyFont="1" applyFill="1" applyBorder="1"/>
    <xf numFmtId="0" fontId="10" fillId="0" borderId="32" xfId="0" applyFont="1" applyBorder="1"/>
    <xf numFmtId="0" fontId="7" fillId="3" borderId="33" xfId="0" applyFont="1" applyFill="1" applyBorder="1"/>
    <xf numFmtId="0" fontId="7" fillId="3" borderId="34" xfId="0" applyFont="1" applyFill="1" applyBorder="1"/>
    <xf numFmtId="0" fontId="8" fillId="4" borderId="22" xfId="0" applyFont="1" applyFill="1" applyBorder="1" applyAlignment="1">
      <alignment horizontal="center" vertical="center"/>
    </xf>
    <xf numFmtId="0" fontId="10" fillId="0" borderId="26" xfId="0" applyFont="1" applyBorder="1"/>
    <xf numFmtId="0" fontId="7" fillId="9" borderId="22" xfId="0" applyFont="1" applyFill="1" applyBorder="1" applyAlignment="1">
      <alignment wrapText="1"/>
    </xf>
    <xf numFmtId="0" fontId="10" fillId="8" borderId="35" xfId="0" applyFont="1" applyFill="1" applyBorder="1"/>
    <xf numFmtId="0" fontId="10" fillId="0" borderId="22" xfId="0" applyFont="1" applyBorder="1"/>
    <xf numFmtId="0" fontId="8" fillId="4" borderId="26" xfId="0" applyFont="1" applyFill="1" applyBorder="1" applyAlignment="1">
      <alignment horizontal="center"/>
    </xf>
    <xf numFmtId="0" fontId="6" fillId="0" borderId="10" xfId="0" applyFont="1" applyBorder="1" applyAlignment="1">
      <alignment horizontal="center" vertical="center" wrapText="1"/>
    </xf>
    <xf numFmtId="0" fontId="10" fillId="0" borderId="36" xfId="0" applyFont="1" applyBorder="1"/>
    <xf numFmtId="0" fontId="10" fillId="4" borderId="26" xfId="0" applyFont="1" applyFill="1" applyBorder="1" applyAlignment="1">
      <alignment horizontal="center" vertical="center" wrapText="1"/>
    </xf>
    <xf numFmtId="0" fontId="7" fillId="3" borderId="37" xfId="0" applyFont="1" applyFill="1" applyBorder="1" applyAlignment="1">
      <alignment wrapText="1"/>
    </xf>
    <xf numFmtId="0" fontId="7" fillId="3" borderId="38" xfId="0" applyFont="1" applyFill="1" applyBorder="1"/>
    <xf numFmtId="0" fontId="10" fillId="4" borderId="39" xfId="0" applyFont="1" applyFill="1" applyBorder="1" applyAlignment="1">
      <alignment horizontal="center" vertical="center" wrapText="1"/>
    </xf>
    <xf numFmtId="0" fontId="7" fillId="3" borderId="38" xfId="0" applyFont="1" applyFill="1" applyBorder="1" applyAlignment="1">
      <alignment wrapText="1"/>
    </xf>
    <xf numFmtId="0" fontId="10" fillId="0" borderId="40" xfId="0" applyFont="1" applyBorder="1" applyAlignment="1">
      <alignment horizontal="center"/>
    </xf>
    <xf numFmtId="0" fontId="8" fillId="4" borderId="8" xfId="0" applyFont="1" applyFill="1" applyBorder="1" applyAlignment="1">
      <alignment horizontal="center" vertical="center"/>
    </xf>
    <xf numFmtId="0" fontId="7" fillId="3" borderId="41" xfId="0" applyFont="1" applyFill="1" applyBorder="1"/>
    <xf numFmtId="0" fontId="10" fillId="8" borderId="4" xfId="0" applyFont="1" applyFill="1" applyBorder="1"/>
    <xf numFmtId="0" fontId="7" fillId="3" borderId="42" xfId="0" applyFont="1" applyFill="1" applyBorder="1" applyAlignment="1">
      <alignment wrapText="1"/>
    </xf>
    <xf numFmtId="0" fontId="8" fillId="7" borderId="43" xfId="0" applyFont="1" applyFill="1" applyBorder="1" applyAlignment="1">
      <alignment horizontal="center"/>
    </xf>
    <xf numFmtId="0" fontId="6" fillId="8" borderId="44" xfId="0" applyFont="1" applyFill="1" applyBorder="1" applyAlignment="1">
      <alignment horizontal="center" vertical="center" wrapText="1"/>
    </xf>
    <xf numFmtId="0" fontId="8" fillId="4" borderId="24" xfId="0" applyFont="1" applyFill="1" applyBorder="1" applyAlignment="1">
      <alignment horizontal="center" vertical="center"/>
    </xf>
    <xf numFmtId="0" fontId="7" fillId="3" borderId="13" xfId="0" applyFont="1" applyFill="1" applyBorder="1"/>
    <xf numFmtId="0" fontId="7" fillId="3" borderId="45" xfId="0" applyFont="1" applyFill="1" applyBorder="1" applyAlignment="1">
      <alignment wrapText="1"/>
    </xf>
    <xf numFmtId="0" fontId="8" fillId="7" borderId="44" xfId="0" applyFont="1" applyFill="1" applyBorder="1" applyAlignment="1">
      <alignment horizontal="center"/>
    </xf>
    <xf numFmtId="0" fontId="10" fillId="0" borderId="46" xfId="0" applyFont="1" applyBorder="1" applyAlignment="1">
      <alignment horizontal="center"/>
    </xf>
    <xf numFmtId="0" fontId="7" fillId="3" borderId="47" xfId="0" applyFont="1" applyFill="1" applyBorder="1"/>
    <xf numFmtId="0" fontId="8" fillId="4" borderId="12" xfId="0" applyFont="1" applyFill="1" applyBorder="1" applyAlignment="1">
      <alignment horizontal="center" vertical="center"/>
    </xf>
    <xf numFmtId="0" fontId="7" fillId="3" borderId="48" xfId="0" applyFont="1" applyFill="1" applyBorder="1"/>
    <xf numFmtId="0" fontId="10" fillId="8" borderId="49" xfId="0" applyFont="1" applyFill="1" applyBorder="1"/>
    <xf numFmtId="0" fontId="7" fillId="3" borderId="50" xfId="0" applyFont="1" applyFill="1" applyBorder="1" applyAlignment="1">
      <alignment wrapText="1"/>
    </xf>
    <xf numFmtId="0" fontId="10" fillId="0" borderId="19" xfId="0" applyFont="1" applyBorder="1" applyAlignment="1">
      <alignment horizontal="center"/>
    </xf>
    <xf numFmtId="0" fontId="6" fillId="0" borderId="51" xfId="0" applyFont="1" applyBorder="1" applyAlignment="1">
      <alignment horizontal="center" vertical="center" wrapText="1"/>
    </xf>
    <xf numFmtId="0" fontId="6" fillId="8" borderId="55" xfId="0" applyFont="1" applyFill="1" applyBorder="1" applyAlignment="1">
      <alignment horizontal="center" vertical="center" wrapText="1"/>
    </xf>
    <xf numFmtId="0" fontId="8" fillId="4" borderId="32" xfId="0" applyFont="1" applyFill="1" applyBorder="1" applyAlignment="1">
      <alignment horizontal="center" vertical="center"/>
    </xf>
    <xf numFmtId="0" fontId="7" fillId="3" borderId="41" xfId="0" applyFont="1" applyFill="1" applyBorder="1" applyAlignment="1">
      <alignment wrapText="1"/>
    </xf>
    <xf numFmtId="0" fontId="10" fillId="0" borderId="56" xfId="0" applyFont="1" applyBorder="1" applyAlignment="1">
      <alignment horizontal="center" vertical="center"/>
    </xf>
    <xf numFmtId="0" fontId="7" fillId="3" borderId="57" xfId="0" applyFont="1" applyFill="1" applyBorder="1" applyAlignment="1">
      <alignment wrapText="1"/>
    </xf>
    <xf numFmtId="0" fontId="10" fillId="4" borderId="26" xfId="0" applyFont="1" applyFill="1" applyBorder="1"/>
    <xf numFmtId="0" fontId="10" fillId="0" borderId="29" xfId="0" applyFont="1" applyBorder="1" applyAlignment="1">
      <alignment horizontal="center" vertical="center"/>
    </xf>
    <xf numFmtId="0" fontId="10" fillId="4" borderId="36" xfId="0" applyFont="1" applyFill="1" applyBorder="1"/>
    <xf numFmtId="0" fontId="7" fillId="3" borderId="10" xfId="0" applyFont="1" applyFill="1" applyBorder="1" applyAlignment="1">
      <alignment wrapText="1"/>
    </xf>
    <xf numFmtId="0" fontId="10" fillId="0" borderId="58" xfId="0" applyFont="1" applyBorder="1" applyAlignment="1">
      <alignment horizontal="center" vertical="center"/>
    </xf>
    <xf numFmtId="0" fontId="8" fillId="4" borderId="59" xfId="0" applyFont="1" applyFill="1" applyBorder="1" applyAlignment="1">
      <alignment horizontal="center" vertical="center"/>
    </xf>
    <xf numFmtId="0" fontId="7" fillId="3" borderId="45" xfId="0" applyFont="1" applyFill="1" applyBorder="1"/>
    <xf numFmtId="0" fontId="7" fillId="3" borderId="60" xfId="0" applyFont="1" applyFill="1" applyBorder="1" applyAlignment="1">
      <alignment wrapText="1"/>
    </xf>
    <xf numFmtId="0" fontId="7" fillId="3" borderId="24" xfId="0" applyFont="1" applyFill="1" applyBorder="1"/>
    <xf numFmtId="0" fontId="8" fillId="4" borderId="61" xfId="0" applyFont="1" applyFill="1" applyBorder="1" applyAlignment="1">
      <alignment horizontal="center" vertical="center"/>
    </xf>
    <xf numFmtId="0" fontId="7" fillId="3" borderId="12" xfId="0" applyFont="1" applyFill="1" applyBorder="1"/>
    <xf numFmtId="0" fontId="7" fillId="3" borderId="57" xfId="0" applyFont="1" applyFill="1" applyBorder="1"/>
    <xf numFmtId="0" fontId="10" fillId="5" borderId="26" xfId="0" applyFont="1" applyFill="1" applyBorder="1" applyAlignment="1">
      <alignment horizontal="center" vertical="center"/>
    </xf>
    <xf numFmtId="0" fontId="7" fillId="3" borderId="62" xfId="0" applyFont="1" applyFill="1" applyBorder="1" applyAlignment="1">
      <alignment wrapText="1"/>
    </xf>
    <xf numFmtId="0" fontId="7" fillId="3" borderId="62" xfId="0" applyFont="1" applyFill="1" applyBorder="1"/>
    <xf numFmtId="0" fontId="10" fillId="5" borderId="24" xfId="0" applyFont="1" applyFill="1" applyBorder="1" applyAlignment="1">
      <alignment horizontal="center" vertical="center"/>
    </xf>
    <xf numFmtId="0" fontId="7" fillId="3" borderId="63" xfId="0" applyFont="1" applyFill="1" applyBorder="1" applyAlignment="1">
      <alignment wrapText="1"/>
    </xf>
    <xf numFmtId="0" fontId="7" fillId="3" borderId="63" xfId="0" applyFont="1" applyFill="1" applyBorder="1"/>
    <xf numFmtId="0" fontId="8" fillId="4" borderId="64" xfId="0" applyFont="1" applyFill="1" applyBorder="1" applyAlignment="1">
      <alignment horizontal="center" vertical="center"/>
    </xf>
    <xf numFmtId="0" fontId="10" fillId="0" borderId="40" xfId="0" applyFont="1" applyBorder="1" applyAlignment="1">
      <alignment horizontal="center" vertical="center"/>
    </xf>
    <xf numFmtId="0" fontId="7" fillId="3" borderId="65" xfId="0" applyFont="1" applyFill="1" applyBorder="1"/>
    <xf numFmtId="0" fontId="7" fillId="3" borderId="6" xfId="0" applyFont="1" applyFill="1" applyBorder="1" applyAlignment="1">
      <alignment horizontal="center" vertical="center" wrapText="1"/>
    </xf>
    <xf numFmtId="0" fontId="7" fillId="3" borderId="7" xfId="0" applyFont="1" applyFill="1" applyBorder="1" applyAlignment="1">
      <alignment horizontal="center" vertical="center" wrapText="1"/>
    </xf>
    <xf numFmtId="0" fontId="7" fillId="3" borderId="8" xfId="0" applyFont="1" applyFill="1" applyBorder="1" applyAlignment="1">
      <alignment horizontal="center" vertical="center" wrapText="1"/>
    </xf>
    <xf numFmtId="0" fontId="10" fillId="0" borderId="22" xfId="0" applyFont="1" applyBorder="1" applyAlignment="1">
      <alignment horizontal="center" vertical="center" wrapText="1"/>
    </xf>
    <xf numFmtId="0" fontId="10" fillId="0" borderId="66" xfId="0" applyFont="1" applyBorder="1" applyAlignment="1">
      <alignment horizontal="center" vertical="center" wrapText="1"/>
    </xf>
    <xf numFmtId="0" fontId="10" fillId="0" borderId="29" xfId="0" applyFont="1" applyBorder="1" applyAlignment="1">
      <alignment horizontal="center" vertical="center" wrapText="1"/>
    </xf>
    <xf numFmtId="0" fontId="7" fillId="3" borderId="22" xfId="0" applyFont="1" applyFill="1" applyBorder="1" applyAlignment="1">
      <alignment horizontal="center" vertical="center" wrapText="1"/>
    </xf>
    <xf numFmtId="0" fontId="7" fillId="3" borderId="66" xfId="0" applyFont="1" applyFill="1" applyBorder="1" applyAlignment="1">
      <alignment horizontal="center" vertical="center" wrapText="1"/>
    </xf>
    <xf numFmtId="0" fontId="7" fillId="3" borderId="24" xfId="0" applyFont="1" applyFill="1" applyBorder="1" applyAlignment="1">
      <alignment horizontal="center" vertical="center" wrapText="1"/>
    </xf>
    <xf numFmtId="0" fontId="7" fillId="3" borderId="63" xfId="0" applyFont="1" applyFill="1" applyBorder="1" applyAlignment="1">
      <alignment horizontal="center" vertical="center" wrapText="1"/>
    </xf>
    <xf numFmtId="0" fontId="7" fillId="3" borderId="20" xfId="0" applyFont="1" applyFill="1" applyBorder="1" applyAlignment="1">
      <alignment horizontal="center" vertical="center" wrapText="1"/>
    </xf>
    <xf numFmtId="0" fontId="10" fillId="0" borderId="67" xfId="0" applyFont="1" applyBorder="1" applyAlignment="1">
      <alignment horizontal="center" vertical="center" wrapText="1"/>
    </xf>
    <xf numFmtId="0" fontId="10" fillId="0" borderId="68" xfId="0" applyFont="1" applyBorder="1" applyAlignment="1">
      <alignment horizontal="center" vertical="center" wrapText="1"/>
    </xf>
    <xf numFmtId="0" fontId="10" fillId="0" borderId="69" xfId="0" applyFont="1" applyBorder="1" applyAlignment="1">
      <alignment horizontal="center" vertical="center" wrapText="1"/>
    </xf>
    <xf numFmtId="0" fontId="6" fillId="8" borderId="70" xfId="0" applyFont="1" applyFill="1" applyBorder="1" applyAlignment="1">
      <alignment horizontal="center" vertical="center" wrapText="1"/>
    </xf>
    <xf numFmtId="0" fontId="6" fillId="8" borderId="71" xfId="0" applyFont="1" applyFill="1" applyBorder="1" applyAlignment="1">
      <alignment horizontal="center" vertical="center" wrapText="1"/>
    </xf>
    <xf numFmtId="0" fontId="6" fillId="8" borderId="72" xfId="0" applyFont="1" applyFill="1" applyBorder="1" applyAlignment="1">
      <alignment horizontal="center" vertical="center" wrapText="1"/>
    </xf>
    <xf numFmtId="0" fontId="10" fillId="0" borderId="73" xfId="0" applyFont="1" applyBorder="1"/>
    <xf numFmtId="0" fontId="6" fillId="3" borderId="55" xfId="0" applyFont="1" applyFill="1" applyBorder="1" applyAlignment="1">
      <alignment horizontal="center" vertical="center" wrapText="1"/>
    </xf>
    <xf numFmtId="0" fontId="10" fillId="0" borderId="32" xfId="0" applyFont="1" applyBorder="1" applyAlignment="1">
      <alignment horizontal="center" vertical="center"/>
    </xf>
    <xf numFmtId="0" fontId="10" fillId="0" borderId="26" xfId="0" applyFont="1" applyBorder="1" applyAlignment="1">
      <alignment horizontal="center" vertical="center"/>
    </xf>
    <xf numFmtId="0" fontId="7" fillId="3" borderId="33" xfId="0" applyFont="1" applyFill="1" applyBorder="1" applyAlignment="1">
      <alignment wrapText="1"/>
    </xf>
    <xf numFmtId="0" fontId="8" fillId="7" borderId="36" xfId="0" applyFont="1" applyFill="1" applyBorder="1" applyAlignment="1">
      <alignment horizontal="center"/>
    </xf>
    <xf numFmtId="0" fontId="10" fillId="0" borderId="36" xfId="0" applyFont="1" applyBorder="1" applyAlignment="1">
      <alignment horizontal="center" vertical="center"/>
    </xf>
    <xf numFmtId="0" fontId="12" fillId="0" borderId="0" xfId="0" applyFont="1"/>
    <xf numFmtId="0" fontId="13" fillId="0" borderId="0" xfId="0" applyFont="1"/>
    <xf numFmtId="0" fontId="10" fillId="0" borderId="0" xfId="0" applyFont="1" applyAlignment="1">
      <alignment wrapText="1"/>
    </xf>
    <xf numFmtId="0" fontId="7" fillId="3" borderId="65" xfId="0" applyFont="1" applyFill="1" applyBorder="1" applyAlignment="1">
      <alignment horizontal="center" vertical="center" wrapText="1"/>
    </xf>
    <xf numFmtId="0" fontId="7" fillId="3" borderId="74" xfId="0" applyFont="1" applyFill="1" applyBorder="1" applyAlignment="1">
      <alignment horizontal="center" vertical="center" wrapText="1"/>
    </xf>
    <xf numFmtId="0" fontId="7" fillId="3" borderId="75" xfId="0" applyFont="1" applyFill="1" applyBorder="1" applyAlignment="1">
      <alignment horizontal="center" vertical="center" wrapText="1"/>
    </xf>
    <xf numFmtId="0" fontId="7" fillId="3" borderId="41" xfId="0" applyFont="1" applyFill="1" applyBorder="1" applyAlignment="1">
      <alignment horizontal="center" vertical="center" wrapText="1"/>
    </xf>
    <xf numFmtId="0" fontId="8" fillId="4" borderId="41" xfId="0" applyFont="1" applyFill="1" applyBorder="1" applyAlignment="1">
      <alignment horizontal="center" vertical="center" wrapText="1"/>
    </xf>
    <xf numFmtId="0" fontId="7" fillId="3" borderId="13" xfId="0" applyFont="1" applyFill="1" applyBorder="1" applyAlignment="1">
      <alignment horizontal="center" vertical="center" wrapText="1"/>
    </xf>
    <xf numFmtId="0" fontId="8" fillId="4" borderId="13" xfId="0" applyFont="1" applyFill="1" applyBorder="1" applyAlignment="1">
      <alignment horizontal="center" vertical="center" wrapText="1"/>
    </xf>
    <xf numFmtId="0" fontId="7" fillId="3" borderId="48" xfId="0" applyFont="1" applyFill="1" applyBorder="1" applyAlignment="1">
      <alignment horizontal="center" vertical="center" wrapText="1"/>
    </xf>
    <xf numFmtId="0" fontId="8" fillId="4" borderId="48" xfId="0" applyFont="1" applyFill="1" applyBorder="1" applyAlignment="1">
      <alignment horizontal="center" vertical="center" wrapText="1"/>
    </xf>
    <xf numFmtId="0" fontId="8" fillId="4" borderId="32" xfId="0" applyFont="1" applyFill="1" applyBorder="1" applyAlignment="1">
      <alignment horizontal="center" vertical="center" wrapText="1"/>
    </xf>
    <xf numFmtId="0" fontId="8" fillId="4" borderId="26" xfId="0" applyFont="1" applyFill="1" applyBorder="1" applyAlignment="1">
      <alignment horizontal="center" vertical="center" wrapText="1"/>
    </xf>
    <xf numFmtId="0" fontId="8" fillId="4" borderId="36" xfId="0" applyFont="1" applyFill="1" applyBorder="1" applyAlignment="1">
      <alignment horizontal="center" vertical="center" wrapText="1"/>
    </xf>
    <xf numFmtId="0" fontId="7" fillId="3" borderId="78" xfId="0" applyFont="1" applyFill="1" applyBorder="1" applyAlignment="1">
      <alignment horizontal="center" vertical="center" wrapText="1"/>
    </xf>
    <xf numFmtId="0" fontId="7" fillId="3" borderId="47" xfId="0" applyFont="1" applyFill="1" applyBorder="1" applyAlignment="1">
      <alignment horizontal="center" vertical="center" wrapText="1"/>
    </xf>
    <xf numFmtId="0" fontId="7" fillId="3" borderId="34" xfId="0" applyFont="1" applyFill="1" applyBorder="1" applyAlignment="1">
      <alignment horizontal="center" vertical="center" wrapText="1"/>
    </xf>
    <xf numFmtId="0" fontId="10" fillId="0" borderId="66" xfId="0" applyFont="1" applyBorder="1" applyAlignment="1">
      <alignment horizontal="center" vertical="center"/>
    </xf>
    <xf numFmtId="0" fontId="14" fillId="0" borderId="0" xfId="0" applyFont="1" applyAlignment="1">
      <alignment wrapText="1"/>
    </xf>
    <xf numFmtId="0" fontId="15" fillId="0" borderId="0" xfId="0" applyFont="1" applyAlignment="1">
      <alignment horizontal="left" vertical="center"/>
    </xf>
    <xf numFmtId="0" fontId="15" fillId="0" borderId="0" xfId="0" applyFont="1" applyAlignment="1">
      <alignment wrapText="1"/>
    </xf>
    <xf numFmtId="0" fontId="14" fillId="0" borderId="0" xfId="0" applyFont="1"/>
    <xf numFmtId="0" fontId="10" fillId="0" borderId="80" xfId="0" applyFont="1" applyBorder="1"/>
    <xf numFmtId="0" fontId="10" fillId="0" borderId="46" xfId="0" applyFont="1" applyBorder="1"/>
    <xf numFmtId="0" fontId="10" fillId="0" borderId="17" xfId="0" applyFont="1" applyBorder="1"/>
    <xf numFmtId="0" fontId="10" fillId="0" borderId="18" xfId="0" applyFont="1" applyBorder="1"/>
    <xf numFmtId="0" fontId="10" fillId="0" borderId="19" xfId="0" applyFont="1" applyBorder="1"/>
    <xf numFmtId="0" fontId="7" fillId="3" borderId="66" xfId="0" applyFont="1" applyFill="1" applyBorder="1"/>
    <xf numFmtId="0" fontId="16" fillId="11" borderId="6" xfId="0" applyFont="1" applyFill="1" applyBorder="1" applyAlignment="1">
      <alignment horizontal="center" vertical="center" wrapText="1"/>
    </xf>
    <xf numFmtId="0" fontId="16" fillId="11" borderId="7" xfId="0" applyFont="1" applyFill="1" applyBorder="1" applyAlignment="1">
      <alignment horizontal="center" vertical="center" wrapText="1"/>
    </xf>
    <xf numFmtId="0" fontId="16" fillId="11" borderId="32" xfId="0" applyFont="1" applyFill="1" applyBorder="1" applyAlignment="1">
      <alignment horizontal="center" vertical="center" wrapText="1"/>
    </xf>
    <xf numFmtId="0" fontId="10" fillId="12" borderId="6" xfId="0" applyFont="1" applyFill="1" applyBorder="1" applyAlignment="1">
      <alignment vertical="center" wrapText="1"/>
    </xf>
    <xf numFmtId="0" fontId="10" fillId="8" borderId="32" xfId="0" applyFont="1" applyFill="1" applyBorder="1" applyAlignment="1">
      <alignment vertical="center" wrapText="1"/>
    </xf>
    <xf numFmtId="0" fontId="10" fillId="13" borderId="5" xfId="0" applyFont="1" applyFill="1" applyBorder="1"/>
    <xf numFmtId="0" fontId="17" fillId="0" borderId="22" xfId="0" applyFont="1" applyBorder="1" applyAlignment="1">
      <alignment horizontal="center" vertical="center" wrapText="1"/>
    </xf>
    <xf numFmtId="3" fontId="17" fillId="0" borderId="66" xfId="0" applyNumberFormat="1" applyFont="1" applyBorder="1" applyAlignment="1">
      <alignment horizontal="center" vertical="center" shrinkToFit="1"/>
    </xf>
    <xf numFmtId="0" fontId="17" fillId="0" borderId="26" xfId="0" applyFont="1" applyBorder="1" applyAlignment="1">
      <alignment horizontal="center" vertical="center" wrapText="1"/>
    </xf>
    <xf numFmtId="0" fontId="10" fillId="12" borderId="22" xfId="0" applyFont="1" applyFill="1" applyBorder="1" applyAlignment="1">
      <alignment vertical="center" wrapText="1"/>
    </xf>
    <xf numFmtId="0" fontId="10" fillId="8" borderId="26" xfId="0" applyFont="1" applyFill="1" applyBorder="1" applyAlignment="1">
      <alignment vertical="center" wrapText="1"/>
    </xf>
    <xf numFmtId="0" fontId="10" fillId="0" borderId="81" xfId="0" applyFont="1" applyBorder="1" applyAlignment="1">
      <alignment wrapText="1"/>
    </xf>
    <xf numFmtId="3" fontId="17" fillId="0" borderId="26" xfId="0" applyNumberFormat="1" applyFont="1" applyBorder="1" applyAlignment="1">
      <alignment horizontal="center" vertical="center" shrinkToFit="1"/>
    </xf>
    <xf numFmtId="0" fontId="10" fillId="12" borderId="10" xfId="0" applyFont="1" applyFill="1" applyBorder="1" applyAlignment="1">
      <alignment vertical="center" wrapText="1"/>
    </xf>
    <xf numFmtId="3" fontId="10" fillId="8" borderId="36" xfId="0" applyNumberFormat="1" applyFont="1" applyFill="1" applyBorder="1" applyAlignment="1">
      <alignment vertical="center" wrapText="1"/>
    </xf>
    <xf numFmtId="1" fontId="17" fillId="0" borderId="66" xfId="0" applyNumberFormat="1" applyFont="1" applyBorder="1" applyAlignment="1">
      <alignment horizontal="center" vertical="center" shrinkToFit="1"/>
    </xf>
    <xf numFmtId="0" fontId="17" fillId="0" borderId="66" xfId="0" applyFont="1" applyBorder="1" applyAlignment="1">
      <alignment horizontal="center" vertical="center" wrapText="1"/>
    </xf>
    <xf numFmtId="0" fontId="17" fillId="0" borderId="10" xfId="0" applyFont="1" applyBorder="1" applyAlignment="1">
      <alignment horizontal="center" vertical="center" wrapText="1"/>
    </xf>
    <xf numFmtId="0" fontId="17" fillId="0" borderId="11" xfId="0" applyFont="1" applyBorder="1" applyAlignment="1">
      <alignment horizontal="center" vertical="center" wrapText="1"/>
    </xf>
    <xf numFmtId="3" fontId="17" fillId="0" borderId="36" xfId="0" applyNumberFormat="1" applyFont="1" applyBorder="1" applyAlignment="1">
      <alignment horizontal="center" vertical="center" shrinkToFit="1"/>
    </xf>
    <xf numFmtId="0" fontId="10" fillId="13" borderId="65" xfId="0" applyFont="1" applyFill="1" applyBorder="1"/>
    <xf numFmtId="0" fontId="10" fillId="13" borderId="74" xfId="0" applyFont="1" applyFill="1" applyBorder="1"/>
    <xf numFmtId="0" fontId="10" fillId="13" borderId="75" xfId="0" applyFont="1" applyFill="1" applyBorder="1"/>
    <xf numFmtId="0" fontId="10" fillId="0" borderId="82" xfId="0" applyFont="1" applyBorder="1"/>
    <xf numFmtId="0" fontId="10" fillId="0" borderId="83" xfId="0" applyFont="1" applyBorder="1"/>
    <xf numFmtId="0" fontId="10" fillId="0" borderId="84" xfId="0" applyFont="1" applyBorder="1"/>
    <xf numFmtId="0" fontId="10" fillId="0" borderId="85" xfId="0" applyFont="1" applyBorder="1"/>
    <xf numFmtId="0" fontId="10" fillId="0" borderId="86" xfId="0" applyFont="1" applyBorder="1"/>
    <xf numFmtId="0" fontId="10" fillId="0" borderId="66" xfId="0" applyFont="1" applyBorder="1"/>
    <xf numFmtId="0" fontId="10" fillId="13" borderId="60" xfId="0" applyFont="1" applyFill="1" applyBorder="1"/>
    <xf numFmtId="0" fontId="10" fillId="0" borderId="85" xfId="0" applyFont="1" applyBorder="1" applyAlignment="1">
      <alignment wrapText="1"/>
    </xf>
    <xf numFmtId="0" fontId="10" fillId="14" borderId="60" xfId="0" applyFont="1" applyFill="1" applyBorder="1"/>
    <xf numFmtId="0" fontId="10" fillId="0" borderId="87" xfId="0" applyFont="1" applyBorder="1"/>
    <xf numFmtId="0" fontId="10" fillId="0" borderId="88" xfId="0" applyFont="1" applyBorder="1"/>
    <xf numFmtId="0" fontId="10" fillId="14" borderId="66" xfId="0" applyFont="1" applyFill="1" applyBorder="1"/>
    <xf numFmtId="0" fontId="10" fillId="0" borderId="67" xfId="0" applyFont="1" applyBorder="1"/>
    <xf numFmtId="0" fontId="10" fillId="0" borderId="68" xfId="0" applyFont="1" applyBorder="1"/>
    <xf numFmtId="0" fontId="10" fillId="0" borderId="6" xfId="0" applyFont="1" applyBorder="1"/>
    <xf numFmtId="0" fontId="10" fillId="0" borderId="7" xfId="0" applyFont="1" applyBorder="1"/>
    <xf numFmtId="0" fontId="10" fillId="0" borderId="11" xfId="0" applyFont="1" applyBorder="1"/>
    <xf numFmtId="0" fontId="10" fillId="0" borderId="89" xfId="0" applyFont="1" applyBorder="1"/>
    <xf numFmtId="0" fontId="10" fillId="11" borderId="6" xfId="0" applyFont="1" applyFill="1" applyBorder="1" applyAlignment="1">
      <alignment vertical="top"/>
    </xf>
    <xf numFmtId="0" fontId="16" fillId="11" borderId="7" xfId="0" applyFont="1" applyFill="1" applyBorder="1" applyAlignment="1">
      <alignment vertical="top"/>
    </xf>
    <xf numFmtId="0" fontId="16" fillId="11" borderId="32" xfId="0" applyFont="1" applyFill="1" applyBorder="1" applyAlignment="1">
      <alignment vertical="top"/>
    </xf>
    <xf numFmtId="0" fontId="16" fillId="11" borderId="22" xfId="0" applyFont="1" applyFill="1" applyBorder="1" applyAlignment="1">
      <alignment vertical="top" wrapText="1"/>
    </xf>
    <xf numFmtId="0" fontId="16" fillId="11" borderId="66" xfId="0" applyFont="1" applyFill="1" applyBorder="1" applyAlignment="1">
      <alignment vertical="top"/>
    </xf>
    <xf numFmtId="0" fontId="16" fillId="11" borderId="26" xfId="0" applyFont="1" applyFill="1" applyBorder="1" applyAlignment="1">
      <alignment vertical="top"/>
    </xf>
    <xf numFmtId="0" fontId="17" fillId="0" borderId="22" xfId="0" applyFont="1" applyBorder="1" applyAlignment="1">
      <alignment vertical="top"/>
    </xf>
    <xf numFmtId="0" fontId="17" fillId="0" borderId="66" xfId="0" applyFont="1" applyBorder="1" applyAlignment="1">
      <alignment vertical="top"/>
    </xf>
    <xf numFmtId="0" fontId="17" fillId="0" borderId="26" xfId="0" applyFont="1" applyBorder="1" applyAlignment="1">
      <alignment vertical="top"/>
    </xf>
    <xf numFmtId="0" fontId="17" fillId="0" borderId="10" xfId="0" applyFont="1" applyBorder="1" applyAlignment="1">
      <alignment vertical="top"/>
    </xf>
    <xf numFmtId="0" fontId="17" fillId="0" borderId="11" xfId="0" applyFont="1" applyBorder="1" applyAlignment="1">
      <alignment vertical="top"/>
    </xf>
    <xf numFmtId="0" fontId="17" fillId="0" borderId="36" xfId="0" applyFont="1" applyBorder="1" applyAlignment="1">
      <alignment vertical="top"/>
    </xf>
    <xf numFmtId="0" fontId="10" fillId="13" borderId="42" xfId="0" applyFont="1" applyFill="1" applyBorder="1"/>
    <xf numFmtId="0" fontId="10" fillId="13" borderId="90" xfId="0" applyFont="1" applyFill="1" applyBorder="1"/>
    <xf numFmtId="0" fontId="10" fillId="13" borderId="91" xfId="0" applyFont="1" applyFill="1" applyBorder="1"/>
    <xf numFmtId="0" fontId="10" fillId="0" borderId="69" xfId="0" applyFont="1" applyBorder="1"/>
    <xf numFmtId="0" fontId="10" fillId="0" borderId="10" xfId="0" applyFont="1" applyBorder="1"/>
    <xf numFmtId="0" fontId="10" fillId="15" borderId="55" xfId="0" applyFont="1" applyFill="1" applyBorder="1" applyAlignment="1">
      <alignment wrapText="1"/>
    </xf>
    <xf numFmtId="0" fontId="10" fillId="15" borderId="5" xfId="0" applyFont="1" applyFill="1" applyBorder="1" applyAlignment="1">
      <alignment wrapText="1"/>
    </xf>
    <xf numFmtId="0" fontId="10" fillId="0" borderId="92" xfId="0" applyFont="1" applyBorder="1" applyAlignment="1">
      <alignment wrapText="1"/>
    </xf>
    <xf numFmtId="0" fontId="18" fillId="0" borderId="81" xfId="0" applyFont="1" applyBorder="1" applyAlignment="1">
      <alignment wrapText="1"/>
    </xf>
    <xf numFmtId="0" fontId="10" fillId="7" borderId="35" xfId="0" applyFont="1" applyFill="1" applyBorder="1"/>
    <xf numFmtId="0" fontId="10" fillId="0" borderId="81" xfId="0" applyFont="1" applyBorder="1"/>
    <xf numFmtId="0" fontId="10" fillId="13" borderId="5" xfId="0" applyFont="1" applyFill="1" applyBorder="1" applyAlignment="1">
      <alignment horizontal="left"/>
    </xf>
    <xf numFmtId="0" fontId="10" fillId="0" borderId="82" xfId="0" applyFont="1" applyBorder="1" applyAlignment="1">
      <alignment horizontal="center" vertical="center"/>
    </xf>
    <xf numFmtId="0" fontId="10" fillId="0" borderId="83" xfId="0" applyFont="1" applyBorder="1" applyAlignment="1">
      <alignment horizontal="center" vertical="center"/>
    </xf>
    <xf numFmtId="0" fontId="10" fillId="0" borderId="84" xfId="0" applyFont="1" applyBorder="1" applyAlignment="1">
      <alignment horizontal="center" vertical="center"/>
    </xf>
    <xf numFmtId="0" fontId="10" fillId="0" borderId="22" xfId="0" applyFont="1" applyBorder="1" applyAlignment="1">
      <alignment horizontal="center" vertical="center"/>
    </xf>
    <xf numFmtId="0" fontId="10" fillId="0" borderId="10" xfId="0" applyFont="1" applyBorder="1" applyAlignment="1">
      <alignment horizontal="center" vertical="center"/>
    </xf>
    <xf numFmtId="0" fontId="10" fillId="0" borderId="11" xfId="0" applyFont="1" applyBorder="1" applyAlignment="1">
      <alignment horizontal="center" vertical="center"/>
    </xf>
    <xf numFmtId="0" fontId="10" fillId="0" borderId="7" xfId="0" applyFont="1" applyBorder="1" applyAlignment="1">
      <alignment horizontal="center" vertical="center"/>
    </xf>
    <xf numFmtId="0" fontId="10" fillId="0" borderId="7" xfId="0" applyFont="1" applyBorder="1" applyAlignment="1">
      <alignment horizontal="left" vertical="center"/>
    </xf>
    <xf numFmtId="0" fontId="10" fillId="0" borderId="32" xfId="0" applyFont="1" applyBorder="1" applyAlignment="1">
      <alignment horizontal="left"/>
    </xf>
    <xf numFmtId="0" fontId="10" fillId="0" borderId="66" xfId="0" applyFont="1" applyBorder="1" applyAlignment="1">
      <alignment horizontal="left"/>
    </xf>
    <xf numFmtId="0" fontId="10" fillId="0" borderId="26" xfId="0" applyFont="1" applyBorder="1" applyAlignment="1">
      <alignment horizontal="left"/>
    </xf>
    <xf numFmtId="0" fontId="10" fillId="0" borderId="84" xfId="0" applyFont="1" applyBorder="1" applyAlignment="1">
      <alignment horizontal="left"/>
    </xf>
    <xf numFmtId="0" fontId="10" fillId="0" borderId="11" xfId="0" applyFont="1" applyBorder="1" applyAlignment="1">
      <alignment horizontal="left"/>
    </xf>
    <xf numFmtId="0" fontId="16" fillId="11" borderId="35" xfId="0" applyFont="1" applyFill="1" applyBorder="1" applyAlignment="1">
      <alignment horizontal="center" vertical="center" wrapText="1"/>
    </xf>
    <xf numFmtId="0" fontId="10" fillId="14" borderId="35" xfId="0" applyFont="1" applyFill="1" applyBorder="1" applyAlignment="1">
      <alignment wrapText="1"/>
    </xf>
    <xf numFmtId="0" fontId="10" fillId="13" borderId="55" xfId="0" applyFont="1" applyFill="1" applyBorder="1"/>
    <xf numFmtId="0" fontId="10" fillId="13" borderId="6" xfId="0" applyFont="1" applyFill="1" applyBorder="1"/>
    <xf numFmtId="0" fontId="10" fillId="13" borderId="32" xfId="0" applyFont="1" applyFill="1" applyBorder="1"/>
    <xf numFmtId="0" fontId="10" fillId="0" borderId="41" xfId="0" applyFont="1" applyBorder="1" applyAlignment="1">
      <alignment wrapText="1"/>
    </xf>
    <xf numFmtId="0" fontId="10" fillId="0" borderId="22" xfId="0" applyFont="1" applyBorder="1" applyAlignment="1">
      <alignment horizontal="left"/>
    </xf>
    <xf numFmtId="0" fontId="10" fillId="0" borderId="48" xfId="0" applyFont="1" applyBorder="1" applyAlignment="1">
      <alignment wrapText="1"/>
    </xf>
    <xf numFmtId="0" fontId="10" fillId="13" borderId="55" xfId="0" applyFont="1" applyFill="1" applyBorder="1" applyAlignment="1">
      <alignment horizontal="left"/>
    </xf>
    <xf numFmtId="0" fontId="19" fillId="11" borderId="93" xfId="0" applyFont="1" applyFill="1" applyBorder="1" applyAlignment="1">
      <alignment vertical="top"/>
    </xf>
    <xf numFmtId="0" fontId="19" fillId="11" borderId="94" xfId="0" applyFont="1" applyFill="1" applyBorder="1" applyAlignment="1">
      <alignment vertical="top"/>
    </xf>
    <xf numFmtId="0" fontId="19" fillId="11" borderId="95" xfId="0" applyFont="1" applyFill="1" applyBorder="1" applyAlignment="1">
      <alignment vertical="top"/>
    </xf>
    <xf numFmtId="0" fontId="19" fillId="11" borderId="96" xfId="0" applyFont="1" applyFill="1" applyBorder="1" applyAlignment="1">
      <alignment horizontal="left" vertical="top"/>
    </xf>
    <xf numFmtId="0" fontId="19" fillId="11" borderId="97" xfId="0" applyFont="1" applyFill="1" applyBorder="1" applyAlignment="1">
      <alignment horizontal="left" vertical="top"/>
    </xf>
    <xf numFmtId="0" fontId="19" fillId="11" borderId="5" xfId="0" applyFont="1" applyFill="1" applyBorder="1" applyAlignment="1">
      <alignment horizontal="left" vertical="top"/>
    </xf>
    <xf numFmtId="0" fontId="19" fillId="11" borderId="98" xfId="0" applyFont="1" applyFill="1" applyBorder="1" applyAlignment="1">
      <alignment vertical="top"/>
    </xf>
    <xf numFmtId="0" fontId="16" fillId="11" borderId="99" xfId="0" applyFont="1" applyFill="1" applyBorder="1" applyAlignment="1">
      <alignment vertical="top"/>
    </xf>
    <xf numFmtId="0" fontId="16" fillId="11" borderId="100" xfId="0" applyFont="1" applyFill="1" applyBorder="1" applyAlignment="1">
      <alignment vertical="top"/>
    </xf>
    <xf numFmtId="0" fontId="10" fillId="0" borderId="5" xfId="0" applyFont="1" applyBorder="1" applyAlignment="1">
      <alignment wrapText="1"/>
    </xf>
    <xf numFmtId="0" fontId="16" fillId="11" borderId="98" xfId="0" applyFont="1" applyFill="1" applyBorder="1" applyAlignment="1">
      <alignment vertical="top"/>
    </xf>
    <xf numFmtId="0" fontId="19" fillId="11" borderId="99" xfId="0" applyFont="1" applyFill="1" applyBorder="1" applyAlignment="1">
      <alignment vertical="top"/>
    </xf>
    <xf numFmtId="0" fontId="19" fillId="11" borderId="100" xfId="0" applyFont="1" applyFill="1" applyBorder="1" applyAlignment="1">
      <alignment vertical="top"/>
    </xf>
    <xf numFmtId="0" fontId="10" fillId="0" borderId="101" xfId="0" applyFont="1" applyBorder="1" applyAlignment="1">
      <alignment vertical="center"/>
    </xf>
    <xf numFmtId="0" fontId="10" fillId="0" borderId="102" xfId="0" applyFont="1" applyBorder="1" applyAlignment="1">
      <alignment vertical="center"/>
    </xf>
    <xf numFmtId="0" fontId="10" fillId="0" borderId="0" xfId="0" applyFont="1" applyAlignment="1">
      <alignment horizontal="left"/>
    </xf>
    <xf numFmtId="0" fontId="19" fillId="11" borderId="55" xfId="0" applyFont="1" applyFill="1" applyBorder="1" applyAlignment="1">
      <alignment horizontal="left" vertical="top"/>
    </xf>
    <xf numFmtId="0" fontId="10" fillId="0" borderId="66" xfId="0" applyFont="1" applyBorder="1" applyAlignment="1">
      <alignment wrapText="1"/>
    </xf>
    <xf numFmtId="0" fontId="10" fillId="0" borderId="103" xfId="0" applyFont="1" applyBorder="1" applyAlignment="1">
      <alignment vertical="center"/>
    </xf>
    <xf numFmtId="0" fontId="10" fillId="15" borderId="35" xfId="0" applyFont="1" applyFill="1" applyBorder="1"/>
    <xf numFmtId="0" fontId="19" fillId="11" borderId="100" xfId="0" applyFont="1" applyFill="1" applyBorder="1" applyAlignment="1">
      <alignment horizontal="left" vertical="top"/>
    </xf>
    <xf numFmtId="0" fontId="10" fillId="0" borderId="9" xfId="0" applyFont="1" applyBorder="1" applyAlignment="1">
      <alignment wrapText="1"/>
    </xf>
    <xf numFmtId="0" fontId="10" fillId="14" borderId="6" xfId="0" applyFont="1" applyFill="1" applyBorder="1"/>
    <xf numFmtId="0" fontId="10" fillId="14" borderId="32" xfId="0" applyFont="1" applyFill="1" applyBorder="1"/>
    <xf numFmtId="0" fontId="10" fillId="14" borderId="10" xfId="0" applyFont="1" applyFill="1" applyBorder="1"/>
    <xf numFmtId="0" fontId="10" fillId="14" borderId="36" xfId="0" applyFont="1" applyFill="1" applyBorder="1"/>
    <xf numFmtId="0" fontId="10" fillId="13" borderId="35" xfId="0" applyFont="1" applyFill="1" applyBorder="1"/>
    <xf numFmtId="0" fontId="10" fillId="13" borderId="7" xfId="0" applyFont="1" applyFill="1" applyBorder="1"/>
    <xf numFmtId="0" fontId="10" fillId="13" borderId="8" xfId="0" applyFont="1" applyFill="1" applyBorder="1"/>
    <xf numFmtId="0" fontId="10" fillId="13" borderId="104" xfId="0" applyFont="1" applyFill="1" applyBorder="1"/>
    <xf numFmtId="0" fontId="10" fillId="0" borderId="29" xfId="0" applyFont="1" applyBorder="1"/>
    <xf numFmtId="0" fontId="10" fillId="0" borderId="105" xfId="0" applyFont="1" applyBorder="1"/>
    <xf numFmtId="0" fontId="10" fillId="0" borderId="40" xfId="0" applyFont="1" applyBorder="1"/>
    <xf numFmtId="0" fontId="20" fillId="0" borderId="0" xfId="0" applyFont="1" applyAlignment="1">
      <alignment vertical="top" wrapText="1"/>
    </xf>
    <xf numFmtId="0" fontId="16" fillId="11" borderId="106" xfId="0" applyFont="1" applyFill="1" applyBorder="1" applyAlignment="1">
      <alignment horizontal="center" vertical="center" wrapText="1"/>
    </xf>
    <xf numFmtId="0" fontId="10" fillId="0" borderId="0" xfId="0" applyFont="1" applyAlignment="1">
      <alignment horizontal="center" vertical="center"/>
    </xf>
    <xf numFmtId="0" fontId="17" fillId="0" borderId="107" xfId="0" applyFont="1" applyBorder="1" applyAlignment="1">
      <alignment vertical="top"/>
    </xf>
    <xf numFmtId="0" fontId="10" fillId="0" borderId="0" xfId="0" applyFont="1" applyAlignment="1">
      <alignment horizontal="left" vertical="center"/>
    </xf>
    <xf numFmtId="0" fontId="16" fillId="11" borderId="74" xfId="0" applyFont="1" applyFill="1" applyBorder="1" applyAlignment="1">
      <alignment vertical="top" wrapText="1"/>
    </xf>
    <xf numFmtId="0" fontId="16" fillId="11" borderId="75" xfId="0" applyFont="1" applyFill="1" applyBorder="1" applyAlignment="1">
      <alignment vertical="top" wrapText="1"/>
    </xf>
    <xf numFmtId="0" fontId="16" fillId="11" borderId="6" xfId="0" applyFont="1" applyFill="1" applyBorder="1" applyAlignment="1">
      <alignment vertical="top"/>
    </xf>
    <xf numFmtId="0" fontId="16" fillId="11" borderId="7" xfId="0" applyFont="1" applyFill="1" applyBorder="1" applyAlignment="1">
      <alignment vertical="top" wrapText="1"/>
    </xf>
    <xf numFmtId="0" fontId="10" fillId="11" borderId="42" xfId="0" applyFont="1" applyFill="1" applyBorder="1" applyAlignment="1">
      <alignment vertical="top"/>
    </xf>
    <xf numFmtId="0" fontId="16" fillId="11" borderId="90" xfId="0" applyFont="1" applyFill="1" applyBorder="1" applyAlignment="1">
      <alignment vertical="top"/>
    </xf>
    <xf numFmtId="0" fontId="16" fillId="11" borderId="91" xfId="0" applyFont="1" applyFill="1" applyBorder="1" applyAlignment="1">
      <alignment vertical="top"/>
    </xf>
    <xf numFmtId="0" fontId="10" fillId="0" borderId="22" xfId="0" applyFont="1" applyBorder="1" applyAlignment="1">
      <alignment wrapText="1"/>
    </xf>
    <xf numFmtId="0" fontId="17" fillId="0" borderId="29" xfId="0" applyFont="1" applyBorder="1" applyAlignment="1">
      <alignment vertical="top"/>
    </xf>
    <xf numFmtId="0" fontId="10" fillId="0" borderId="6" xfId="0" applyFont="1" applyBorder="1" applyAlignment="1">
      <alignment wrapText="1"/>
    </xf>
    <xf numFmtId="0" fontId="10" fillId="0" borderId="32" xfId="0" applyFont="1" applyBorder="1" applyAlignment="1">
      <alignment wrapText="1"/>
    </xf>
    <xf numFmtId="0" fontId="10" fillId="0" borderId="10" xfId="0" applyFont="1" applyBorder="1" applyAlignment="1">
      <alignment wrapText="1"/>
    </xf>
    <xf numFmtId="0" fontId="17" fillId="0" borderId="58" xfId="0" applyFont="1" applyBorder="1" applyAlignment="1">
      <alignment vertical="top"/>
    </xf>
    <xf numFmtId="0" fontId="10" fillId="0" borderId="36" xfId="0" applyFont="1" applyBorder="1" applyAlignment="1">
      <alignment wrapText="1"/>
    </xf>
    <xf numFmtId="0" fontId="17" fillId="0" borderId="0" xfId="0" applyFont="1" applyAlignment="1">
      <alignment vertical="top"/>
    </xf>
    <xf numFmtId="0" fontId="10" fillId="13" borderId="63" xfId="0" applyFont="1" applyFill="1" applyBorder="1" applyAlignment="1">
      <alignment horizontal="center" vertical="center"/>
    </xf>
    <xf numFmtId="0" fontId="10" fillId="13" borderId="65" xfId="0" applyFont="1" applyFill="1" applyBorder="1" applyAlignment="1">
      <alignment horizontal="center" vertical="center"/>
    </xf>
    <xf numFmtId="0" fontId="10" fillId="13" borderId="74" xfId="0" applyFont="1" applyFill="1" applyBorder="1" applyAlignment="1">
      <alignment horizontal="center" vertical="center"/>
    </xf>
    <xf numFmtId="0" fontId="10" fillId="13" borderId="75" xfId="0" applyFont="1" applyFill="1" applyBorder="1" applyAlignment="1">
      <alignment horizontal="center" vertical="center"/>
    </xf>
    <xf numFmtId="0" fontId="10" fillId="0" borderId="82" xfId="0" applyFont="1" applyBorder="1" applyAlignment="1">
      <alignment horizontal="right"/>
    </xf>
    <xf numFmtId="0" fontId="10" fillId="0" borderId="83" xfId="0" applyFont="1" applyBorder="1" applyAlignment="1">
      <alignment horizontal="left"/>
    </xf>
    <xf numFmtId="0" fontId="10" fillId="0" borderId="83" xfId="0" applyFont="1" applyBorder="1" applyAlignment="1">
      <alignment horizontal="right"/>
    </xf>
    <xf numFmtId="0" fontId="10" fillId="0" borderId="105" xfId="0" applyFont="1" applyBorder="1" applyAlignment="1">
      <alignment horizontal="left"/>
    </xf>
    <xf numFmtId="0" fontId="10" fillId="0" borderId="0" xfId="0" applyFont="1" applyAlignment="1">
      <alignment horizontal="center" vertical="center" wrapText="1"/>
    </xf>
    <xf numFmtId="0" fontId="10" fillId="0" borderId="22" xfId="0" applyFont="1" applyBorder="1" applyAlignment="1">
      <alignment horizontal="right"/>
    </xf>
    <xf numFmtId="0" fontId="10" fillId="0" borderId="66" xfId="0" applyFont="1" applyBorder="1" applyAlignment="1">
      <alignment horizontal="right"/>
    </xf>
    <xf numFmtId="0" fontId="10" fillId="0" borderId="29" xfId="0" applyFont="1" applyBorder="1" applyAlignment="1">
      <alignment horizontal="left"/>
    </xf>
    <xf numFmtId="0" fontId="10" fillId="0" borderId="68" xfId="0" applyFont="1" applyBorder="1" applyAlignment="1">
      <alignment horizontal="left"/>
    </xf>
    <xf numFmtId="0" fontId="10" fillId="0" borderId="68" xfId="0" applyFont="1" applyBorder="1" applyAlignment="1">
      <alignment horizontal="right"/>
    </xf>
    <xf numFmtId="0" fontId="10" fillId="0" borderId="40" xfId="0" applyFont="1" applyBorder="1" applyAlignment="1">
      <alignment horizontal="left"/>
    </xf>
    <xf numFmtId="0" fontId="10" fillId="0" borderId="69" xfId="0" applyFont="1" applyBorder="1" applyAlignment="1">
      <alignment horizontal="left"/>
    </xf>
    <xf numFmtId="0" fontId="10" fillId="0" borderId="7" xfId="0" applyFont="1" applyBorder="1" applyAlignment="1">
      <alignment horizontal="left"/>
    </xf>
    <xf numFmtId="0" fontId="10" fillId="0" borderId="7" xfId="0" applyFont="1" applyBorder="1" applyAlignment="1">
      <alignment horizontal="right"/>
    </xf>
    <xf numFmtId="0" fontId="10" fillId="0" borderId="11" xfId="0" applyFont="1" applyBorder="1" applyAlignment="1">
      <alignment horizontal="right"/>
    </xf>
    <xf numFmtId="0" fontId="10" fillId="0" borderId="36" xfId="0" applyFont="1" applyBorder="1" applyAlignment="1">
      <alignment horizontal="left"/>
    </xf>
    <xf numFmtId="0" fontId="10" fillId="0" borderId="56" xfId="0" applyFont="1" applyBorder="1"/>
    <xf numFmtId="0" fontId="10" fillId="0" borderId="41" xfId="0" applyFont="1" applyBorder="1"/>
    <xf numFmtId="0" fontId="10" fillId="0" borderId="108" xfId="0" applyFont="1" applyBorder="1"/>
    <xf numFmtId="0" fontId="10" fillId="0" borderId="58" xfId="0" applyFont="1" applyBorder="1"/>
    <xf numFmtId="0" fontId="10" fillId="0" borderId="48" xfId="0" applyFont="1" applyBorder="1"/>
    <xf numFmtId="0" fontId="10" fillId="0" borderId="0" xfId="0" applyFont="1" applyAlignment="1">
      <alignment vertical="top"/>
    </xf>
    <xf numFmtId="0" fontId="10" fillId="0" borderId="48" xfId="0" applyFont="1" applyBorder="1" applyAlignment="1">
      <alignment horizontal="left" wrapText="1"/>
    </xf>
    <xf numFmtId="0" fontId="10" fillId="13" borderId="41" xfId="0" applyFont="1" applyFill="1" applyBorder="1"/>
    <xf numFmtId="0" fontId="10" fillId="0" borderId="13" xfId="0" applyFont="1" applyBorder="1" applyAlignment="1">
      <alignment wrapText="1"/>
    </xf>
    <xf numFmtId="0" fontId="10" fillId="0" borderId="109" xfId="0" applyFont="1" applyBorder="1"/>
    <xf numFmtId="0" fontId="10" fillId="0" borderId="110" xfId="0" applyFont="1" applyBorder="1"/>
    <xf numFmtId="0" fontId="10" fillId="0" borderId="111" xfId="0" applyFont="1" applyBorder="1"/>
    <xf numFmtId="0" fontId="10" fillId="0" borderId="112" xfId="0" applyFont="1" applyBorder="1"/>
    <xf numFmtId="0" fontId="10" fillId="13" borderId="42" xfId="0" applyFont="1" applyFill="1" applyBorder="1" applyAlignment="1">
      <alignment horizontal="center" vertical="center"/>
    </xf>
    <xf numFmtId="0" fontId="10" fillId="13" borderId="90" xfId="0" applyFont="1" applyFill="1" applyBorder="1" applyAlignment="1">
      <alignment horizontal="center" vertical="center"/>
    </xf>
    <xf numFmtId="0" fontId="10" fillId="13" borderId="91" xfId="0" applyFont="1" applyFill="1" applyBorder="1" applyAlignment="1">
      <alignment horizontal="center" vertical="center"/>
    </xf>
    <xf numFmtId="0" fontId="10" fillId="13" borderId="5" xfId="0" applyFont="1" applyFill="1" applyBorder="1" applyAlignment="1">
      <alignment horizontal="center" vertical="center"/>
    </xf>
    <xf numFmtId="0" fontId="10" fillId="13" borderId="6" xfId="0" applyFont="1" applyFill="1" applyBorder="1" applyAlignment="1">
      <alignment horizontal="center" vertical="center"/>
    </xf>
    <xf numFmtId="0" fontId="10" fillId="13" borderId="32" xfId="0" applyFont="1" applyFill="1" applyBorder="1" applyAlignment="1">
      <alignment horizontal="center" vertical="center"/>
    </xf>
    <xf numFmtId="0" fontId="7" fillId="0" borderId="0" xfId="0" applyFont="1"/>
    <xf numFmtId="0" fontId="10" fillId="0" borderId="113" xfId="0" applyFont="1" applyBorder="1"/>
    <xf numFmtId="0" fontId="10" fillId="0" borderId="5" xfId="0" applyFont="1" applyBorder="1"/>
    <xf numFmtId="0" fontId="10" fillId="0" borderId="114" xfId="0" applyFont="1" applyBorder="1"/>
    <xf numFmtId="0" fontId="10" fillId="0" borderId="115" xfId="0" applyFont="1" applyBorder="1"/>
    <xf numFmtId="0" fontId="10" fillId="0" borderId="48" xfId="0" applyFont="1" applyBorder="1" applyAlignment="1">
      <alignment horizontal="left"/>
    </xf>
    <xf numFmtId="0" fontId="10" fillId="0" borderId="102" xfId="0" applyFont="1" applyBorder="1"/>
    <xf numFmtId="0" fontId="10" fillId="0" borderId="116" xfId="0" applyFont="1" applyBorder="1"/>
    <xf numFmtId="0" fontId="10" fillId="0" borderId="13" xfId="0" applyFont="1" applyBorder="1" applyAlignment="1">
      <alignment horizontal="center" wrapText="1"/>
    </xf>
    <xf numFmtId="0" fontId="10" fillId="0" borderId="103" xfId="0" applyFont="1" applyBorder="1"/>
    <xf numFmtId="0" fontId="22" fillId="7" borderId="47" xfId="0" quotePrefix="1" applyFont="1" applyFill="1" applyBorder="1" applyAlignment="1">
      <alignment horizontal="center" vertical="center"/>
    </xf>
    <xf numFmtId="0" fontId="22" fillId="7" borderId="139" xfId="0" applyFont="1" applyFill="1" applyBorder="1" applyAlignment="1">
      <alignment horizontal="center" vertical="center"/>
    </xf>
    <xf numFmtId="0" fontId="8" fillId="7" borderId="139" xfId="0" applyFont="1" applyFill="1" applyBorder="1" applyAlignment="1">
      <alignment horizontal="center" vertical="center" wrapText="1"/>
    </xf>
    <xf numFmtId="0" fontId="8" fillId="7" borderId="79" xfId="0" applyFont="1" applyFill="1" applyBorder="1" applyAlignment="1">
      <alignment horizontal="center" vertical="center" wrapText="1"/>
    </xf>
    <xf numFmtId="0" fontId="8" fillId="7" borderId="47" xfId="0" quotePrefix="1" applyFont="1" applyFill="1" applyBorder="1" applyAlignment="1">
      <alignment horizontal="center" vertical="center"/>
    </xf>
    <xf numFmtId="0" fontId="8" fillId="7" borderId="47" xfId="0" quotePrefix="1" applyFont="1" applyFill="1" applyBorder="1" applyAlignment="1">
      <alignment horizontal="right" vertical="center"/>
    </xf>
    <xf numFmtId="0" fontId="8" fillId="7" borderId="34" xfId="0" quotePrefix="1" applyFont="1" applyFill="1" applyBorder="1" applyAlignment="1">
      <alignment vertical="center" wrapText="1"/>
    </xf>
    <xf numFmtId="0" fontId="22" fillId="3" borderId="7" xfId="0" applyFont="1" applyFill="1" applyBorder="1" applyAlignment="1">
      <alignment horizontal="center" vertical="center" wrapText="1"/>
    </xf>
    <xf numFmtId="0" fontId="22" fillId="3" borderId="90" xfId="0" applyFont="1" applyFill="1" applyBorder="1" applyAlignment="1">
      <alignment horizontal="center" vertical="center" wrapText="1"/>
    </xf>
    <xf numFmtId="0" fontId="22" fillId="3" borderId="6" xfId="0" applyFont="1" applyFill="1" applyBorder="1" applyAlignment="1">
      <alignment horizontal="center" vertical="center" wrapText="1"/>
    </xf>
    <xf numFmtId="0" fontId="22" fillId="3" borderId="55" xfId="0" applyFont="1" applyFill="1" applyBorder="1" applyAlignment="1">
      <alignment horizontal="center" vertical="center" wrapText="1"/>
    </xf>
    <xf numFmtId="0" fontId="8" fillId="7" borderId="66" xfId="0" applyFont="1" applyFill="1" applyBorder="1" applyAlignment="1">
      <alignment horizontal="center" vertical="center" wrapText="1"/>
    </xf>
    <xf numFmtId="0" fontId="8" fillId="7" borderId="22" xfId="0" applyFont="1" applyFill="1" applyBorder="1" applyAlignment="1">
      <alignment horizontal="center" vertical="center" wrapText="1"/>
    </xf>
    <xf numFmtId="0" fontId="8" fillId="7" borderId="13" xfId="0" applyFont="1" applyFill="1" applyBorder="1" applyAlignment="1">
      <alignment horizontal="center" vertical="center" wrapText="1"/>
    </xf>
    <xf numFmtId="0" fontId="8" fillId="7" borderId="153" xfId="0" applyFont="1" applyFill="1" applyBorder="1" applyAlignment="1">
      <alignment vertical="center" wrapText="1"/>
    </xf>
    <xf numFmtId="0" fontId="7" fillId="3" borderId="66" xfId="0" applyFont="1" applyFill="1" applyBorder="1" applyAlignment="1">
      <alignment horizontal="center" vertical="center" textRotation="90" wrapText="1"/>
    </xf>
    <xf numFmtId="0" fontId="7" fillId="3" borderId="62" xfId="0" applyFont="1" applyFill="1" applyBorder="1" applyAlignment="1">
      <alignment horizontal="center" vertical="center" textRotation="90" wrapText="1"/>
    </xf>
    <xf numFmtId="0" fontId="18" fillId="7" borderId="66" xfId="0" applyFont="1" applyFill="1" applyBorder="1" applyAlignment="1">
      <alignment horizontal="center" vertical="center"/>
    </xf>
    <xf numFmtId="0" fontId="18" fillId="7" borderId="66" xfId="0" applyFont="1" applyFill="1" applyBorder="1" applyAlignment="1">
      <alignment horizontal="center" vertical="center" wrapText="1"/>
    </xf>
    <xf numFmtId="0" fontId="18" fillId="7" borderId="26" xfId="0" applyFont="1" applyFill="1" applyBorder="1" applyAlignment="1">
      <alignment horizontal="center" vertical="center"/>
    </xf>
    <xf numFmtId="0" fontId="18" fillId="14" borderId="157" xfId="0" applyFont="1" applyFill="1" applyBorder="1" applyAlignment="1">
      <alignment horizontal="center" vertical="center"/>
    </xf>
    <xf numFmtId="0" fontId="18" fillId="14" borderId="61" xfId="0" applyFont="1" applyFill="1" applyBorder="1" applyAlignment="1">
      <alignment horizontal="center" vertical="center"/>
    </xf>
    <xf numFmtId="0" fontId="4" fillId="6" borderId="13" xfId="0" applyFont="1" applyFill="1" applyBorder="1" applyAlignment="1" applyProtection="1">
      <alignment horizontal="left" vertical="center" wrapText="1"/>
      <protection locked="0"/>
    </xf>
    <xf numFmtId="0" fontId="4" fillId="17" borderId="13" xfId="0" applyFont="1" applyFill="1" applyBorder="1" applyAlignment="1" applyProtection="1">
      <alignment horizontal="left" vertical="center" wrapText="1"/>
      <protection locked="0"/>
    </xf>
    <xf numFmtId="0" fontId="3" fillId="0" borderId="0" xfId="0" applyFont="1"/>
    <xf numFmtId="0" fontId="2" fillId="0" borderId="0" xfId="0" applyFont="1"/>
    <xf numFmtId="0" fontId="2" fillId="19" borderId="0" xfId="0" applyFont="1" applyFill="1"/>
    <xf numFmtId="0" fontId="2" fillId="18" borderId="159" xfId="0" applyFont="1" applyFill="1" applyBorder="1"/>
    <xf numFmtId="0" fontId="2" fillId="18" borderId="162" xfId="0" applyFont="1" applyFill="1" applyBorder="1" applyAlignment="1">
      <alignment wrapText="1"/>
    </xf>
    <xf numFmtId="0" fontId="0" fillId="0" borderId="0" xfId="0" applyAlignment="1">
      <alignment wrapText="1"/>
    </xf>
    <xf numFmtId="0" fontId="2" fillId="18" borderId="163" xfId="0" applyFont="1" applyFill="1" applyBorder="1" applyAlignment="1">
      <alignment wrapText="1"/>
    </xf>
    <xf numFmtId="0" fontId="7" fillId="3" borderId="1" xfId="0" applyFont="1" applyFill="1" applyBorder="1" applyAlignment="1">
      <alignment horizontal="center" vertical="center" wrapText="1"/>
    </xf>
    <xf numFmtId="0" fontId="5" fillId="0" borderId="3" xfId="0" applyFont="1" applyBorder="1"/>
    <xf numFmtId="0" fontId="4" fillId="2" borderId="52" xfId="0" applyFont="1" applyFill="1" applyBorder="1" applyAlignment="1">
      <alignment horizontal="center" vertical="center" wrapText="1"/>
    </xf>
    <xf numFmtId="0" fontId="5" fillId="0" borderId="53" xfId="0" applyFont="1" applyBorder="1"/>
    <xf numFmtId="0" fontId="5" fillId="0" borderId="54" xfId="0" applyFont="1" applyBorder="1"/>
    <xf numFmtId="0" fontId="7" fillId="3" borderId="52" xfId="0" applyFont="1" applyFill="1" applyBorder="1" applyAlignment="1">
      <alignment horizontal="center" vertical="center" wrapText="1"/>
    </xf>
    <xf numFmtId="0" fontId="4" fillId="2" borderId="1" xfId="0" applyFont="1" applyFill="1" applyBorder="1" applyAlignment="1">
      <alignment horizontal="center" vertical="center" wrapText="1"/>
    </xf>
    <xf numFmtId="0" fontId="5" fillId="0" borderId="2" xfId="0" applyFont="1" applyBorder="1"/>
    <xf numFmtId="0" fontId="4" fillId="2" borderId="14" xfId="0" applyFont="1" applyFill="1" applyBorder="1" applyAlignment="1">
      <alignment horizontal="center" vertical="center" wrapText="1"/>
    </xf>
    <xf numFmtId="0" fontId="5" fillId="0" borderId="15" xfId="0" applyFont="1" applyBorder="1"/>
    <xf numFmtId="0" fontId="5" fillId="0" borderId="16" xfId="0" applyFont="1" applyBorder="1"/>
    <xf numFmtId="0" fontId="5" fillId="0" borderId="17" xfId="0" applyFont="1" applyBorder="1"/>
    <xf numFmtId="0" fontId="5" fillId="0" borderId="18" xfId="0" applyFont="1" applyBorder="1"/>
    <xf numFmtId="0" fontId="5" fillId="0" borderId="19" xfId="0" applyFont="1" applyBorder="1"/>
    <xf numFmtId="0" fontId="11" fillId="2" borderId="1" xfId="0" applyFont="1" applyFill="1" applyBorder="1" applyAlignment="1">
      <alignment horizontal="center" vertical="center" wrapText="1"/>
    </xf>
    <xf numFmtId="0" fontId="5" fillId="0" borderId="21" xfId="0" applyFont="1" applyBorder="1"/>
    <xf numFmtId="0" fontId="7" fillId="10" borderId="76" xfId="0" applyFont="1" applyFill="1" applyBorder="1" applyAlignment="1">
      <alignment horizontal="center" vertical="center" wrapText="1"/>
    </xf>
    <xf numFmtId="0" fontId="5" fillId="0" borderId="77" xfId="0" applyFont="1" applyBorder="1"/>
    <xf numFmtId="0" fontId="7" fillId="3" borderId="52" xfId="0" applyFont="1" applyFill="1" applyBorder="1" applyAlignment="1">
      <alignment horizontal="center" wrapText="1"/>
    </xf>
    <xf numFmtId="0" fontId="5" fillId="0" borderId="51" xfId="0" applyFont="1" applyBorder="1"/>
    <xf numFmtId="0" fontId="8" fillId="7" borderId="140" xfId="0" applyFont="1" applyFill="1" applyBorder="1" applyAlignment="1">
      <alignment horizontal="left" vertical="center"/>
    </xf>
    <xf numFmtId="0" fontId="5" fillId="0" borderId="127" xfId="0" applyFont="1" applyBorder="1"/>
    <xf numFmtId="0" fontId="5" fillId="0" borderId="141" xfId="0" applyFont="1" applyBorder="1"/>
    <xf numFmtId="0" fontId="8" fillId="7" borderId="140" xfId="0" quotePrefix="1" applyFont="1" applyFill="1" applyBorder="1" applyAlignment="1">
      <alignment horizontal="left" vertical="center"/>
    </xf>
    <xf numFmtId="0" fontId="8" fillId="7" borderId="29" xfId="0" quotePrefix="1" applyFont="1" applyFill="1" applyBorder="1" applyAlignment="1">
      <alignment horizontal="center" vertical="center" wrapText="1"/>
    </xf>
    <xf numFmtId="0" fontId="5" fillId="0" borderId="23" xfId="0" applyFont="1" applyBorder="1"/>
    <xf numFmtId="0" fontId="8" fillId="7" borderId="140" xfId="0" applyFont="1" applyFill="1" applyBorder="1" applyAlignment="1">
      <alignment horizontal="left" vertical="center" wrapText="1"/>
    </xf>
    <xf numFmtId="0" fontId="8" fillId="7" borderId="142" xfId="0" quotePrefix="1" applyFont="1" applyFill="1" applyBorder="1" applyAlignment="1">
      <alignment horizontal="left" vertical="center" wrapText="1"/>
    </xf>
    <xf numFmtId="0" fontId="5" fillId="0" borderId="122" xfId="0" applyFont="1" applyBorder="1"/>
    <xf numFmtId="0" fontId="5" fillId="0" borderId="73" xfId="0" applyFont="1" applyBorder="1"/>
    <xf numFmtId="0" fontId="22" fillId="16" borderId="114" xfId="0" applyFont="1" applyFill="1" applyBorder="1" applyAlignment="1">
      <alignment horizontal="center" vertical="center"/>
    </xf>
    <xf numFmtId="0" fontId="5" fillId="0" borderId="124" xfId="0" applyFont="1" applyBorder="1"/>
    <xf numFmtId="0" fontId="5" fillId="0" borderId="108" xfId="0" applyFont="1" applyBorder="1"/>
    <xf numFmtId="0" fontId="22" fillId="3" borderId="136" xfId="0" applyFont="1" applyFill="1" applyBorder="1" applyAlignment="1">
      <alignment horizontal="center" vertical="center" wrapText="1"/>
    </xf>
    <xf numFmtId="0" fontId="5" fillId="0" borderId="143" xfId="0" applyFont="1" applyBorder="1"/>
    <xf numFmtId="0" fontId="5" fillId="0" borderId="137" xfId="0" applyFont="1" applyBorder="1"/>
    <xf numFmtId="0" fontId="22" fillId="3" borderId="138" xfId="0" applyFont="1" applyFill="1" applyBorder="1" applyAlignment="1">
      <alignment horizontal="center" vertical="center" wrapText="1"/>
    </xf>
    <xf numFmtId="0" fontId="22" fillId="3" borderId="29" xfId="0" applyFont="1" applyFill="1" applyBorder="1" applyAlignment="1">
      <alignment horizontal="center" vertical="center" wrapText="1"/>
    </xf>
    <xf numFmtId="0" fontId="21" fillId="0" borderId="18" xfId="0" applyFont="1" applyBorder="1" applyAlignment="1">
      <alignment horizontal="center" vertical="center"/>
    </xf>
    <xf numFmtId="4" fontId="10" fillId="7" borderId="120" xfId="0" applyNumberFormat="1" applyFont="1" applyFill="1" applyBorder="1" applyAlignment="1">
      <alignment horizontal="center"/>
    </xf>
    <xf numFmtId="0" fontId="5" fillId="0" borderId="119" xfId="0" applyFont="1" applyBorder="1"/>
    <xf numFmtId="0" fontId="7" fillId="3" borderId="120" xfId="0" applyFont="1" applyFill="1" applyBorder="1" applyAlignment="1">
      <alignment horizontal="center"/>
    </xf>
    <xf numFmtId="0" fontId="5" fillId="0" borderId="118" xfId="0" applyFont="1" applyBorder="1"/>
    <xf numFmtId="0" fontId="10" fillId="7" borderId="120" xfId="0" applyFont="1" applyFill="1" applyBorder="1" applyAlignment="1">
      <alignment horizontal="center"/>
    </xf>
    <xf numFmtId="0" fontId="10" fillId="7" borderId="120" xfId="0" applyFont="1" applyFill="1" applyBorder="1" applyAlignment="1">
      <alignment horizontal="center" wrapText="1"/>
    </xf>
    <xf numFmtId="0" fontId="5" fillId="0" borderId="121" xfId="0" applyFont="1" applyBorder="1"/>
    <xf numFmtId="0" fontId="7" fillId="3" borderId="117" xfId="0" applyFont="1" applyFill="1" applyBorder="1" applyAlignment="1">
      <alignment horizontal="center"/>
    </xf>
    <xf numFmtId="0" fontId="7" fillId="3" borderId="103" xfId="0" applyFont="1" applyFill="1" applyBorder="1" applyAlignment="1">
      <alignment horizontal="center"/>
    </xf>
    <xf numFmtId="0" fontId="5" fillId="0" borderId="123" xfId="0" applyFont="1" applyBorder="1"/>
    <xf numFmtId="0" fontId="10" fillId="7" borderId="58" xfId="0" applyFont="1" applyFill="1" applyBorder="1" applyAlignment="1">
      <alignment horizontal="center"/>
    </xf>
    <xf numFmtId="0" fontId="7" fillId="3" borderId="58" xfId="0" applyFont="1" applyFill="1" applyBorder="1" applyAlignment="1">
      <alignment horizontal="center"/>
    </xf>
    <xf numFmtId="0" fontId="10" fillId="0" borderId="58" xfId="0" applyFont="1" applyBorder="1" applyAlignment="1">
      <alignment horizontal="center"/>
    </xf>
    <xf numFmtId="0" fontId="22" fillId="3" borderId="125" xfId="0" applyFont="1" applyFill="1" applyBorder="1" applyAlignment="1">
      <alignment horizontal="center" vertical="center" wrapText="1"/>
    </xf>
    <xf numFmtId="0" fontId="5" fillId="0" borderId="126" xfId="0" applyFont="1" applyBorder="1"/>
    <xf numFmtId="0" fontId="5" fillId="0" borderId="80" xfId="0" applyFont="1" applyBorder="1"/>
    <xf numFmtId="0" fontId="5" fillId="0" borderId="130" xfId="0" applyFont="1" applyBorder="1"/>
    <xf numFmtId="0" fontId="5" fillId="0" borderId="101" xfId="0" applyFont="1" applyBorder="1"/>
    <xf numFmtId="0" fontId="5" fillId="0" borderId="133" xfId="0" applyFont="1" applyBorder="1"/>
    <xf numFmtId="0" fontId="8" fillId="7" borderId="136" xfId="0" applyFont="1" applyFill="1" applyBorder="1" applyAlignment="1">
      <alignment horizontal="center" vertical="center"/>
    </xf>
    <xf numFmtId="0" fontId="8" fillId="7" borderId="138" xfId="0" applyFont="1" applyFill="1" applyBorder="1" applyAlignment="1">
      <alignment horizontal="center" vertical="center" wrapText="1"/>
    </xf>
    <xf numFmtId="0" fontId="22" fillId="3" borderId="29" xfId="0" applyFont="1" applyFill="1" applyBorder="1" applyAlignment="1">
      <alignment horizontal="center" vertical="center"/>
    </xf>
    <xf numFmtId="0" fontId="5" fillId="0" borderId="116" xfId="0" applyFont="1" applyBorder="1"/>
    <xf numFmtId="0" fontId="22" fillId="3" borderId="40" xfId="0" applyFont="1" applyFill="1" applyBorder="1" applyAlignment="1">
      <alignment horizontal="center" vertical="center" wrapText="1"/>
    </xf>
    <xf numFmtId="0" fontId="5" fillId="0" borderId="128" xfId="0" applyFont="1" applyBorder="1"/>
    <xf numFmtId="0" fontId="5" fillId="0" borderId="129" xfId="0" applyFont="1" applyBorder="1"/>
    <xf numFmtId="0" fontId="5" fillId="0" borderId="132" xfId="0" applyFont="1" applyBorder="1"/>
    <xf numFmtId="0" fontId="0" fillId="0" borderId="0" xfId="0"/>
    <xf numFmtId="0" fontId="5" fillId="0" borderId="46" xfId="0" applyFont="1" applyBorder="1"/>
    <xf numFmtId="0" fontId="5" fillId="0" borderId="105" xfId="0" applyFont="1" applyBorder="1"/>
    <xf numFmtId="0" fontId="5" fillId="0" borderId="134" xfId="0" applyFont="1" applyBorder="1"/>
    <xf numFmtId="0" fontId="5" fillId="0" borderId="135" xfId="0" applyFont="1" applyBorder="1"/>
    <xf numFmtId="0" fontId="5" fillId="0" borderId="131" xfId="0" applyFont="1" applyBorder="1"/>
    <xf numFmtId="0" fontId="5" fillId="0" borderId="115" xfId="0" applyFont="1" applyBorder="1"/>
    <xf numFmtId="0" fontId="8" fillId="7" borderId="29" xfId="0" applyFont="1" applyFill="1" applyBorder="1" applyAlignment="1">
      <alignment horizontal="center" vertical="center" wrapText="1"/>
    </xf>
    <xf numFmtId="0" fontId="8" fillId="7" borderId="103" xfId="0" applyFont="1" applyFill="1" applyBorder="1" applyAlignment="1">
      <alignment horizontal="center" vertical="center"/>
    </xf>
    <xf numFmtId="0" fontId="8" fillId="7" borderId="58" xfId="0" applyFont="1" applyFill="1" applyBorder="1" applyAlignment="1">
      <alignment horizontal="center" vertical="center"/>
    </xf>
    <xf numFmtId="0" fontId="8" fillId="7" borderId="144" xfId="0" applyFont="1" applyFill="1" applyBorder="1" applyAlignment="1">
      <alignment horizontal="center" vertical="center"/>
    </xf>
    <xf numFmtId="0" fontId="5" fillId="0" borderId="145" xfId="0" applyFont="1" applyBorder="1"/>
    <xf numFmtId="0" fontId="5" fillId="0" borderId="146" xfId="0" applyFont="1" applyBorder="1"/>
    <xf numFmtId="0" fontId="22" fillId="3" borderId="102" xfId="0" applyFont="1" applyFill="1" applyBorder="1" applyAlignment="1">
      <alignment horizontal="center" vertical="center"/>
    </xf>
    <xf numFmtId="0" fontId="22" fillId="3" borderId="140" xfId="0" applyFont="1" applyFill="1" applyBorder="1" applyAlignment="1">
      <alignment horizontal="center" vertical="center"/>
    </xf>
    <xf numFmtId="0" fontId="8" fillId="7" borderId="149" xfId="0" applyFont="1" applyFill="1" applyBorder="1" applyAlignment="1">
      <alignment horizontal="center" vertical="center"/>
    </xf>
    <xf numFmtId="0" fontId="22" fillId="3" borderId="102" xfId="0" applyFont="1" applyFill="1" applyBorder="1" applyAlignment="1">
      <alignment horizontal="center" vertical="center" wrapText="1"/>
    </xf>
    <xf numFmtId="0" fontId="5" fillId="0" borderId="150" xfId="0" applyFont="1" applyBorder="1"/>
    <xf numFmtId="0" fontId="8" fillId="7" borderId="147" xfId="0" applyFont="1" applyFill="1" applyBorder="1" applyAlignment="1">
      <alignment horizontal="center" vertical="center"/>
    </xf>
    <xf numFmtId="0" fontId="5" fillId="0" borderId="148" xfId="0" applyFont="1" applyBorder="1"/>
    <xf numFmtId="0" fontId="22" fillId="3" borderId="1" xfId="0" applyFont="1" applyFill="1" applyBorder="1" applyAlignment="1">
      <alignment horizontal="center" vertical="center" wrapText="1"/>
    </xf>
    <xf numFmtId="0" fontId="5" fillId="0" borderId="151" xfId="0" applyFont="1" applyBorder="1"/>
    <xf numFmtId="0" fontId="8" fillId="7" borderId="102" xfId="0" applyFont="1" applyFill="1" applyBorder="1" applyAlignment="1">
      <alignment horizontal="center" vertical="center"/>
    </xf>
    <xf numFmtId="0" fontId="8" fillId="7" borderId="142" xfId="0" applyFont="1" applyFill="1" applyBorder="1" applyAlignment="1">
      <alignment horizontal="center" vertical="center"/>
    </xf>
    <xf numFmtId="0" fontId="8" fillId="7" borderId="29" xfId="0" applyFont="1" applyFill="1" applyBorder="1" applyAlignment="1">
      <alignment horizontal="center" vertical="center"/>
    </xf>
    <xf numFmtId="0" fontId="22" fillId="16" borderId="102" xfId="0" applyFont="1" applyFill="1" applyBorder="1" applyAlignment="1">
      <alignment horizontal="center" vertical="center"/>
    </xf>
    <xf numFmtId="9" fontId="8" fillId="7" borderId="58" xfId="0" applyNumberFormat="1" applyFont="1" applyFill="1" applyBorder="1" applyAlignment="1">
      <alignment horizontal="center" vertical="center"/>
    </xf>
    <xf numFmtId="0" fontId="7" fillId="3" borderId="111" xfId="0" applyFont="1" applyFill="1" applyBorder="1" applyAlignment="1">
      <alignment horizontal="center" vertical="center" textRotation="90" wrapText="1"/>
    </xf>
    <xf numFmtId="0" fontId="5" fillId="0" borderId="83" xfId="0" applyFont="1" applyBorder="1"/>
    <xf numFmtId="0" fontId="7" fillId="3" borderId="56" xfId="0" applyFont="1" applyFill="1" applyBorder="1" applyAlignment="1">
      <alignment horizontal="center" vertical="center" wrapText="1"/>
    </xf>
    <xf numFmtId="0" fontId="5" fillId="0" borderId="156" xfId="0" applyFont="1" applyBorder="1"/>
    <xf numFmtId="0" fontId="4" fillId="2" borderId="147" xfId="0" applyFont="1" applyFill="1" applyBorder="1" applyAlignment="1">
      <alignment horizontal="center" vertical="center" wrapText="1"/>
    </xf>
    <xf numFmtId="9" fontId="8" fillId="7" borderId="103" xfId="0" applyNumberFormat="1" applyFont="1" applyFill="1" applyBorder="1" applyAlignment="1">
      <alignment horizontal="center" vertical="center"/>
    </xf>
    <xf numFmtId="0" fontId="22" fillId="16" borderId="1" xfId="0" applyFont="1" applyFill="1" applyBorder="1" applyAlignment="1">
      <alignment horizontal="center" vertical="center"/>
    </xf>
    <xf numFmtId="0" fontId="22" fillId="3" borderId="56" xfId="0" applyFont="1" applyFill="1" applyBorder="1" applyAlignment="1">
      <alignment horizontal="center" vertical="center" wrapText="1"/>
    </xf>
    <xf numFmtId="0" fontId="5" fillId="0" borderId="152" xfId="0" applyFont="1" applyBorder="1"/>
    <xf numFmtId="0" fontId="7" fillId="3" borderId="102" xfId="0" applyFont="1" applyFill="1" applyBorder="1" applyAlignment="1">
      <alignment horizontal="center" vertical="center"/>
    </xf>
    <xf numFmtId="0" fontId="7" fillId="3" borderId="103" xfId="0" applyFont="1" applyFill="1" applyBorder="1" applyAlignment="1">
      <alignment horizontal="center" vertical="center"/>
    </xf>
    <xf numFmtId="0" fontId="10" fillId="0" borderId="158" xfId="0" applyFont="1" applyBorder="1" applyAlignment="1">
      <alignment horizontal="left" vertical="center"/>
    </xf>
    <xf numFmtId="0" fontId="5" fillId="0" borderId="158" xfId="0" applyFont="1" applyBorder="1"/>
    <xf numFmtId="0" fontId="10" fillId="0" borderId="0" xfId="0" applyFont="1" applyAlignment="1">
      <alignment horizontal="left"/>
    </xf>
    <xf numFmtId="0" fontId="8" fillId="7" borderId="149" xfId="0" applyFont="1" applyFill="1" applyBorder="1" applyAlignment="1">
      <alignment horizontal="left" vertical="center" wrapText="1"/>
    </xf>
    <xf numFmtId="0" fontId="7" fillId="3" borderId="112" xfId="0" applyFont="1" applyFill="1" applyBorder="1" applyAlignment="1">
      <alignment horizontal="center" vertical="center" textRotation="90" wrapText="1"/>
    </xf>
    <xf numFmtId="0" fontId="5" fillId="0" borderId="84" xfId="0" applyFont="1" applyBorder="1"/>
    <xf numFmtId="0" fontId="23" fillId="3" borderId="154" xfId="0" applyFont="1" applyFill="1" applyBorder="1" applyAlignment="1">
      <alignment horizontal="center" vertical="center" wrapText="1"/>
    </xf>
    <xf numFmtId="0" fontId="5" fillId="0" borderId="155" xfId="0" applyFont="1" applyBorder="1"/>
    <xf numFmtId="0" fontId="2" fillId="18" borderId="159" xfId="0" applyFont="1" applyFill="1" applyBorder="1" applyAlignment="1">
      <alignment horizontal="center" vertical="center"/>
    </xf>
    <xf numFmtId="0" fontId="2" fillId="18" borderId="160" xfId="0" applyFont="1" applyFill="1" applyBorder="1" applyAlignment="1">
      <alignment horizontal="center" vertical="center"/>
    </xf>
    <xf numFmtId="0" fontId="2" fillId="18" borderId="160" xfId="0" applyFont="1" applyFill="1" applyBorder="1" applyAlignment="1">
      <alignment horizontal="center"/>
    </xf>
    <xf numFmtId="0" fontId="0" fillId="18" borderId="160" xfId="0" applyFill="1" applyBorder="1" applyAlignment="1">
      <alignment horizontal="center"/>
    </xf>
    <xf numFmtId="0" fontId="0" fillId="18" borderId="161" xfId="0" applyFill="1" applyBorder="1" applyAlignment="1">
      <alignment horizontal="center"/>
    </xf>
    <xf numFmtId="0" fontId="1" fillId="0" borderId="0" xfId="0" applyFont="1"/>
    <xf numFmtId="0" fontId="7" fillId="3" borderId="152" xfId="0" applyFont="1" applyFill="1" applyBorder="1" applyAlignment="1">
      <alignment wrapText="1"/>
    </xf>
    <xf numFmtId="0" fontId="7" fillId="3" borderId="141" xfId="0" applyFont="1" applyFill="1" applyBorder="1" applyAlignment="1">
      <alignment wrapText="1"/>
    </xf>
    <xf numFmtId="0" fontId="7" fillId="3" borderId="142" xfId="0" applyFont="1" applyFill="1" applyBorder="1" applyAlignment="1">
      <alignment wrapText="1"/>
    </xf>
    <xf numFmtId="0" fontId="8" fillId="4" borderId="164" xfId="0" applyFont="1" applyFill="1" applyBorder="1" applyAlignment="1">
      <alignment horizontal="center" vertical="center"/>
    </xf>
    <xf numFmtId="0" fontId="8" fillId="4" borderId="165" xfId="0" applyFont="1" applyFill="1" applyBorder="1" applyAlignment="1">
      <alignment horizontal="center" vertical="center"/>
    </xf>
    <xf numFmtId="0" fontId="8" fillId="4" borderId="166" xfId="0" applyFont="1" applyFill="1" applyBorder="1" applyAlignment="1">
      <alignment horizontal="center" vertical="center"/>
    </xf>
    <xf numFmtId="0" fontId="6" fillId="8" borderId="158" xfId="0" applyFont="1" applyFill="1" applyBorder="1" applyAlignment="1">
      <alignment horizontal="center" vertical="center" wrapText="1"/>
    </xf>
    <xf numFmtId="0" fontId="1" fillId="0" borderId="0" xfId="0" applyFont="1" applyAlignment="1">
      <alignment wrapText="1"/>
    </xf>
    <xf numFmtId="0" fontId="8" fillId="5" borderId="56" xfId="0" applyFont="1" applyFill="1" applyBorder="1" applyAlignment="1">
      <alignment horizontal="center" vertical="center" wrapText="1"/>
    </xf>
    <xf numFmtId="0" fontId="8" fillId="5" borderId="29" xfId="0" applyFont="1" applyFill="1" applyBorder="1" applyAlignment="1">
      <alignment horizontal="center" vertical="center" wrapText="1"/>
    </xf>
    <xf numFmtId="0" fontId="8" fillId="5" borderId="58" xfId="0" applyFont="1" applyFill="1" applyBorder="1" applyAlignment="1">
      <alignment horizontal="center" vertical="center" wrapText="1"/>
    </xf>
    <xf numFmtId="0" fontId="8" fillId="5" borderId="152" xfId="0" applyFont="1" applyFill="1" applyBorder="1" applyAlignment="1">
      <alignment horizontal="center" vertical="center" wrapText="1"/>
    </xf>
    <xf numFmtId="0" fontId="8" fillId="5" borderId="141" xfId="0" applyFont="1" applyFill="1" applyBorder="1" applyAlignment="1">
      <alignment horizontal="center" vertical="center" wrapText="1"/>
    </xf>
    <xf numFmtId="0" fontId="8" fillId="5" borderId="142" xfId="0" applyFont="1" applyFill="1" applyBorder="1" applyAlignment="1">
      <alignment horizontal="center" vertical="center" wrapText="1"/>
    </xf>
    <xf numFmtId="0" fontId="7" fillId="3" borderId="112" xfId="0" applyFont="1" applyFill="1" applyBorder="1" applyAlignment="1">
      <alignment horizontal="center" vertical="center" wrapText="1"/>
    </xf>
    <xf numFmtId="0" fontId="0" fillId="0" borderId="164" xfId="0" applyBorder="1"/>
    <xf numFmtId="0" fontId="0" fillId="0" borderId="165" xfId="0" applyBorder="1"/>
    <xf numFmtId="0" fontId="1" fillId="0" borderId="165" xfId="0" applyFont="1" applyBorder="1" applyAlignment="1">
      <alignment wrapText="1"/>
    </xf>
    <xf numFmtId="0" fontId="0" fillId="0" borderId="166" xfId="0" applyBorder="1"/>
    <xf numFmtId="0" fontId="1" fillId="0" borderId="0" xfId="0" applyFont="1" applyAlignment="1">
      <alignment horizontal="left" wrapText="1"/>
    </xf>
    <xf numFmtId="0" fontId="1" fillId="0" borderId="0" xfId="0" applyFont="1" applyAlignment="1">
      <alignment horizontal="left" vertical="top" wrapText="1"/>
    </xf>
    <xf numFmtId="0" fontId="1" fillId="0" borderId="130" xfId="0" applyFont="1" applyFill="1"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5"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customschemas.google.com/relationships/workbookmetadata" Target="metadata"/><Relationship Id="rId58"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57"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oneCellAnchor>
    <xdr:from>
      <xdr:col>3</xdr:col>
      <xdr:colOff>0</xdr:colOff>
      <xdr:row>23</xdr:row>
      <xdr:rowOff>0</xdr:rowOff>
    </xdr:from>
    <xdr:ext cx="6086475" cy="2209800"/>
    <xdr:pic>
      <xdr:nvPicPr>
        <xdr:cNvPr id="2" name="image1.png">
          <a:extLst>
            <a:ext uri="{FF2B5EF4-FFF2-40B4-BE49-F238E27FC236}">
              <a16:creationId xmlns:a16="http://schemas.microsoft.com/office/drawing/2014/main" id="{00000000-0008-0000-22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oneCellAnchor>
    <xdr:from>
      <xdr:col>10</xdr:col>
      <xdr:colOff>695325</xdr:colOff>
      <xdr:row>43</xdr:row>
      <xdr:rowOff>47625</xdr:rowOff>
    </xdr:from>
    <xdr:ext cx="0" cy="133350"/>
    <xdr:pic>
      <xdr:nvPicPr>
        <xdr:cNvPr id="2" name="image9.png">
          <a:extLst>
            <a:ext uri="{FF2B5EF4-FFF2-40B4-BE49-F238E27FC236}">
              <a16:creationId xmlns:a16="http://schemas.microsoft.com/office/drawing/2014/main" id="{00000000-0008-0000-2F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14</xdr:col>
      <xdr:colOff>742950</xdr:colOff>
      <xdr:row>43</xdr:row>
      <xdr:rowOff>47625</xdr:rowOff>
    </xdr:from>
    <xdr:ext cx="0" cy="133350"/>
    <xdr:pic>
      <xdr:nvPicPr>
        <xdr:cNvPr id="3" name="image6.png">
          <a:extLst>
            <a:ext uri="{FF2B5EF4-FFF2-40B4-BE49-F238E27FC236}">
              <a16:creationId xmlns:a16="http://schemas.microsoft.com/office/drawing/2014/main" id="{00000000-0008-0000-2F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11</xdr:col>
      <xdr:colOff>695325</xdr:colOff>
      <xdr:row>43</xdr:row>
      <xdr:rowOff>47625</xdr:rowOff>
    </xdr:from>
    <xdr:ext cx="0" cy="152400"/>
    <xdr:pic>
      <xdr:nvPicPr>
        <xdr:cNvPr id="4" name="image4.png">
          <a:extLst>
            <a:ext uri="{FF2B5EF4-FFF2-40B4-BE49-F238E27FC236}">
              <a16:creationId xmlns:a16="http://schemas.microsoft.com/office/drawing/2014/main" id="{00000000-0008-0000-2F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oneCellAnchor>
    <xdr:from>
      <xdr:col>14</xdr:col>
      <xdr:colOff>742950</xdr:colOff>
      <xdr:row>43</xdr:row>
      <xdr:rowOff>47625</xdr:rowOff>
    </xdr:from>
    <xdr:ext cx="0" cy="152400"/>
    <xdr:pic>
      <xdr:nvPicPr>
        <xdr:cNvPr id="5" name="image7.png">
          <a:extLst>
            <a:ext uri="{FF2B5EF4-FFF2-40B4-BE49-F238E27FC236}">
              <a16:creationId xmlns:a16="http://schemas.microsoft.com/office/drawing/2014/main" id="{00000000-0008-0000-2F00-000005000000}"/>
            </a:ext>
          </a:extLst>
        </xdr:cNvPr>
        <xdr:cNvPicPr preferRelativeResize="0"/>
      </xdr:nvPicPr>
      <xdr:blipFill>
        <a:blip xmlns:r="http://schemas.openxmlformats.org/officeDocument/2006/relationships" r:embed="rId4" cstate="print"/>
        <a:stretch>
          <a:fillRect/>
        </a:stretch>
      </xdr:blipFill>
      <xdr:spPr>
        <a:prstGeom prst="rect">
          <a:avLst/>
        </a:prstGeom>
        <a:noFill/>
      </xdr:spPr>
    </xdr:pic>
    <xdr:clientData fLocksWithSheet="0"/>
  </xdr:oneCellAnchor>
  <xdr:oneCellAnchor>
    <xdr:from>
      <xdr:col>10</xdr:col>
      <xdr:colOff>695325</xdr:colOff>
      <xdr:row>49</xdr:row>
      <xdr:rowOff>47625</xdr:rowOff>
    </xdr:from>
    <xdr:ext cx="0" cy="133350"/>
    <xdr:pic>
      <xdr:nvPicPr>
        <xdr:cNvPr id="6" name="image5.png">
          <a:extLst>
            <a:ext uri="{FF2B5EF4-FFF2-40B4-BE49-F238E27FC236}">
              <a16:creationId xmlns:a16="http://schemas.microsoft.com/office/drawing/2014/main" id="{00000000-0008-0000-2F00-000006000000}"/>
            </a:ext>
          </a:extLst>
        </xdr:cNvPr>
        <xdr:cNvPicPr preferRelativeResize="0"/>
      </xdr:nvPicPr>
      <xdr:blipFill>
        <a:blip xmlns:r="http://schemas.openxmlformats.org/officeDocument/2006/relationships" r:embed="rId5" cstate="print"/>
        <a:stretch>
          <a:fillRect/>
        </a:stretch>
      </xdr:blipFill>
      <xdr:spPr>
        <a:prstGeom prst="rect">
          <a:avLst/>
        </a:prstGeom>
        <a:noFill/>
      </xdr:spPr>
    </xdr:pic>
    <xdr:clientData fLocksWithSheet="0"/>
  </xdr:oneCellAnchor>
  <xdr:oneCellAnchor>
    <xdr:from>
      <xdr:col>14</xdr:col>
      <xdr:colOff>742950</xdr:colOff>
      <xdr:row>49</xdr:row>
      <xdr:rowOff>47625</xdr:rowOff>
    </xdr:from>
    <xdr:ext cx="0" cy="133350"/>
    <xdr:pic>
      <xdr:nvPicPr>
        <xdr:cNvPr id="7" name="image8.png">
          <a:extLst>
            <a:ext uri="{FF2B5EF4-FFF2-40B4-BE49-F238E27FC236}">
              <a16:creationId xmlns:a16="http://schemas.microsoft.com/office/drawing/2014/main" id="{00000000-0008-0000-2F00-000007000000}"/>
            </a:ext>
          </a:extLst>
        </xdr:cNvPr>
        <xdr:cNvPicPr preferRelativeResize="0"/>
      </xdr:nvPicPr>
      <xdr:blipFill>
        <a:blip xmlns:r="http://schemas.openxmlformats.org/officeDocument/2006/relationships" r:embed="rId6" cstate="print"/>
        <a:stretch>
          <a:fillRect/>
        </a:stretch>
      </xdr:blipFill>
      <xdr:spPr>
        <a:prstGeom prst="rect">
          <a:avLst/>
        </a:prstGeom>
        <a:noFill/>
      </xdr:spPr>
    </xdr:pic>
    <xdr:clientData fLocksWithSheet="0"/>
  </xdr:oneCellAnchor>
  <xdr:oneCellAnchor>
    <xdr:from>
      <xdr:col>11</xdr:col>
      <xdr:colOff>695325</xdr:colOff>
      <xdr:row>49</xdr:row>
      <xdr:rowOff>47625</xdr:rowOff>
    </xdr:from>
    <xdr:ext cx="0" cy="152400"/>
    <xdr:pic>
      <xdr:nvPicPr>
        <xdr:cNvPr id="8" name="image3.png">
          <a:extLst>
            <a:ext uri="{FF2B5EF4-FFF2-40B4-BE49-F238E27FC236}">
              <a16:creationId xmlns:a16="http://schemas.microsoft.com/office/drawing/2014/main" id="{00000000-0008-0000-2F00-000008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14</xdr:col>
      <xdr:colOff>742950</xdr:colOff>
      <xdr:row>49</xdr:row>
      <xdr:rowOff>47625</xdr:rowOff>
    </xdr:from>
    <xdr:ext cx="0" cy="152400"/>
    <xdr:pic>
      <xdr:nvPicPr>
        <xdr:cNvPr id="9" name="image2.png">
          <a:extLst>
            <a:ext uri="{FF2B5EF4-FFF2-40B4-BE49-F238E27FC236}">
              <a16:creationId xmlns:a16="http://schemas.microsoft.com/office/drawing/2014/main" id="{00000000-0008-0000-2F00-000009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10</xdr:col>
      <xdr:colOff>695325</xdr:colOff>
      <xdr:row>46</xdr:row>
      <xdr:rowOff>47625</xdr:rowOff>
    </xdr:from>
    <xdr:ext cx="0" cy="133350"/>
    <xdr:pic>
      <xdr:nvPicPr>
        <xdr:cNvPr id="10" name="image5.png">
          <a:extLst>
            <a:ext uri="{FF2B5EF4-FFF2-40B4-BE49-F238E27FC236}">
              <a16:creationId xmlns:a16="http://schemas.microsoft.com/office/drawing/2014/main" id="{00000000-0008-0000-2F00-00000A000000}"/>
            </a:ext>
          </a:extLst>
        </xdr:cNvPr>
        <xdr:cNvPicPr preferRelativeResize="0"/>
      </xdr:nvPicPr>
      <xdr:blipFill>
        <a:blip xmlns:r="http://schemas.openxmlformats.org/officeDocument/2006/relationships" r:embed="rId5" cstate="print"/>
        <a:stretch>
          <a:fillRect/>
        </a:stretch>
      </xdr:blipFill>
      <xdr:spPr>
        <a:prstGeom prst="rect">
          <a:avLst/>
        </a:prstGeom>
        <a:noFill/>
      </xdr:spPr>
    </xdr:pic>
    <xdr:clientData fLocksWithSheet="0"/>
  </xdr:oneCellAnchor>
  <xdr:oneCellAnchor>
    <xdr:from>
      <xdr:col>14</xdr:col>
      <xdr:colOff>742950</xdr:colOff>
      <xdr:row>46</xdr:row>
      <xdr:rowOff>47625</xdr:rowOff>
    </xdr:from>
    <xdr:ext cx="0" cy="133350"/>
    <xdr:pic>
      <xdr:nvPicPr>
        <xdr:cNvPr id="11" name="image8.png">
          <a:extLst>
            <a:ext uri="{FF2B5EF4-FFF2-40B4-BE49-F238E27FC236}">
              <a16:creationId xmlns:a16="http://schemas.microsoft.com/office/drawing/2014/main" id="{00000000-0008-0000-2F00-00000B000000}"/>
            </a:ext>
          </a:extLst>
        </xdr:cNvPr>
        <xdr:cNvPicPr preferRelativeResize="0"/>
      </xdr:nvPicPr>
      <xdr:blipFill>
        <a:blip xmlns:r="http://schemas.openxmlformats.org/officeDocument/2006/relationships" r:embed="rId6" cstate="print"/>
        <a:stretch>
          <a:fillRect/>
        </a:stretch>
      </xdr:blipFill>
      <xdr:spPr>
        <a:prstGeom prst="rect">
          <a:avLst/>
        </a:prstGeom>
        <a:noFill/>
      </xdr:spPr>
    </xdr:pic>
    <xdr:clientData fLocksWithSheet="0"/>
  </xdr:oneCellAnchor>
  <xdr:oneCellAnchor>
    <xdr:from>
      <xdr:col>11</xdr:col>
      <xdr:colOff>695325</xdr:colOff>
      <xdr:row>46</xdr:row>
      <xdr:rowOff>47625</xdr:rowOff>
    </xdr:from>
    <xdr:ext cx="0" cy="152400"/>
    <xdr:pic>
      <xdr:nvPicPr>
        <xdr:cNvPr id="12" name="image3.png">
          <a:extLst>
            <a:ext uri="{FF2B5EF4-FFF2-40B4-BE49-F238E27FC236}">
              <a16:creationId xmlns:a16="http://schemas.microsoft.com/office/drawing/2014/main" id="{00000000-0008-0000-2F00-00000C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14</xdr:col>
      <xdr:colOff>742950</xdr:colOff>
      <xdr:row>46</xdr:row>
      <xdr:rowOff>47625</xdr:rowOff>
    </xdr:from>
    <xdr:ext cx="0" cy="152400"/>
    <xdr:pic>
      <xdr:nvPicPr>
        <xdr:cNvPr id="13" name="image2.png">
          <a:extLst>
            <a:ext uri="{FF2B5EF4-FFF2-40B4-BE49-F238E27FC236}">
              <a16:creationId xmlns:a16="http://schemas.microsoft.com/office/drawing/2014/main" id="{00000000-0008-0000-2F00-00000D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pageSetUpPr fitToPage="1"/>
  </sheetPr>
  <dimension ref="A1:K1000"/>
  <sheetViews>
    <sheetView topLeftCell="A53" workbookViewId="0">
      <selection activeCell="A58" sqref="A58"/>
    </sheetView>
  </sheetViews>
  <sheetFormatPr baseColWidth="10" defaultColWidth="14.44140625" defaultRowHeight="15" customHeight="1" x14ac:dyDescent="0.3"/>
  <cols>
    <col min="1" max="1" width="58.44140625" customWidth="1"/>
    <col min="2" max="2" width="17.33203125" customWidth="1"/>
    <col min="3" max="3" width="23.33203125" customWidth="1"/>
    <col min="4" max="4" width="15.109375" customWidth="1"/>
    <col min="5" max="5" width="37.109375" customWidth="1"/>
    <col min="6" max="6" width="27.6640625" customWidth="1"/>
    <col min="7" max="7" width="23" customWidth="1"/>
    <col min="8" max="8" width="15.88671875" customWidth="1"/>
    <col min="9" max="9" width="14.33203125" customWidth="1"/>
    <col min="10" max="10" width="8.88671875" customWidth="1"/>
    <col min="11" max="11" width="14.44140625" customWidth="1"/>
  </cols>
  <sheetData>
    <row r="1" spans="1:11" ht="35.25" customHeight="1" x14ac:dyDescent="0.3">
      <c r="A1" s="373" t="s">
        <v>0</v>
      </c>
      <c r="B1" s="374"/>
      <c r="C1" s="374"/>
      <c r="D1" s="374"/>
      <c r="E1" s="374"/>
      <c r="F1" s="368"/>
      <c r="G1" s="1" t="s">
        <v>1</v>
      </c>
      <c r="H1" s="2" t="s">
        <v>2</v>
      </c>
    </row>
    <row r="2" spans="1:11" ht="14.25" customHeight="1" x14ac:dyDescent="0.3">
      <c r="A2" s="3" t="s">
        <v>3</v>
      </c>
      <c r="B2" s="4" t="s">
        <v>138</v>
      </c>
      <c r="C2" s="5" t="s">
        <v>4</v>
      </c>
      <c r="D2" s="6">
        <v>1500</v>
      </c>
      <c r="E2" s="5" t="s">
        <v>5</v>
      </c>
      <c r="F2" s="7" t="str" cm="1">
        <f t="array" ref="F2">INDEX(_xlfn._xlws.FILTER(Listas!$C$2:$C$9,Listas!$B$2:$B$9&lt;&gt;""),MATCH(1,(VALUE(_xlfn._xlws.FILTER(Listas!$B$2:$B$9,Listas!$B$2:$B$9&lt;&gt;""))&gt;=D2)*1,0))</f>
        <v>Medio 4</v>
      </c>
      <c r="G2" s="8" t="s">
        <v>6</v>
      </c>
      <c r="H2" s="9"/>
    </row>
    <row r="3" spans="1:11" ht="14.25" customHeight="1" x14ac:dyDescent="0.3">
      <c r="A3" s="10" t="s">
        <v>7</v>
      </c>
      <c r="B3" s="11" t="s">
        <v>139</v>
      </c>
      <c r="C3" s="12" t="s">
        <v>8</v>
      </c>
      <c r="D3" s="11" t="s">
        <v>187</v>
      </c>
      <c r="E3" s="12" t="s">
        <v>9</v>
      </c>
      <c r="F3" s="11">
        <v>2500</v>
      </c>
      <c r="G3" s="13" t="s">
        <v>987</v>
      </c>
      <c r="H3" s="14"/>
    </row>
    <row r="4" spans="1:11" ht="18" customHeight="1" x14ac:dyDescent="0.3">
      <c r="A4" s="375" t="s">
        <v>10</v>
      </c>
      <c r="B4" s="376"/>
      <c r="C4" s="376"/>
      <c r="D4" s="376"/>
      <c r="E4" s="376"/>
      <c r="F4" s="377"/>
      <c r="G4" s="8" t="s">
        <v>11</v>
      </c>
      <c r="H4" s="14"/>
    </row>
    <row r="5" spans="1:11" ht="15" customHeight="1" thickBot="1" x14ac:dyDescent="0.35">
      <c r="A5" s="378"/>
      <c r="B5" s="379"/>
      <c r="C5" s="379"/>
      <c r="D5" s="379"/>
      <c r="E5" s="379"/>
      <c r="F5" s="380"/>
      <c r="G5" s="15" t="s">
        <v>988</v>
      </c>
      <c r="H5" s="14"/>
    </row>
    <row r="6" spans="1:11" ht="14.25" customHeight="1" thickBot="1" x14ac:dyDescent="0.35">
      <c r="A6" s="381" t="s">
        <v>12</v>
      </c>
      <c r="B6" s="374"/>
      <c r="C6" s="374"/>
      <c r="D6" s="374"/>
      <c r="E6" s="374"/>
      <c r="F6" s="382"/>
      <c r="G6" s="358" t="s">
        <v>989</v>
      </c>
      <c r="H6" s="2" t="s">
        <v>13</v>
      </c>
    </row>
    <row r="7" spans="1:11" ht="14.25" customHeight="1" thickBot="1" x14ac:dyDescent="0.35">
      <c r="A7" s="3" t="s">
        <v>14</v>
      </c>
      <c r="B7" s="16">
        <v>15</v>
      </c>
      <c r="C7" s="17" t="s">
        <v>15</v>
      </c>
      <c r="D7" s="18">
        <v>6000</v>
      </c>
      <c r="E7" s="19" t="s">
        <v>16</v>
      </c>
      <c r="F7" s="18" t="s">
        <v>141</v>
      </c>
      <c r="G7" s="2" t="s">
        <v>17</v>
      </c>
      <c r="H7" s="20"/>
    </row>
    <row r="8" spans="1:11" ht="14.25" customHeight="1" x14ac:dyDescent="0.3">
      <c r="A8" s="21" t="s">
        <v>18</v>
      </c>
      <c r="B8" s="22">
        <v>30</v>
      </c>
      <c r="C8" s="17" t="s">
        <v>19</v>
      </c>
      <c r="D8" s="23" t="s">
        <v>142</v>
      </c>
      <c r="E8" s="17" t="s">
        <v>20</v>
      </c>
      <c r="F8" s="23">
        <v>6000</v>
      </c>
      <c r="G8" s="24"/>
      <c r="H8" s="20"/>
      <c r="J8" s="25"/>
    </row>
    <row r="9" spans="1:11" ht="43.2" x14ac:dyDescent="0.3">
      <c r="A9" s="17" t="s">
        <v>21</v>
      </c>
      <c r="B9" s="26" t="b">
        <v>0</v>
      </c>
      <c r="C9" s="27" t="s">
        <v>22</v>
      </c>
      <c r="D9" s="28" t="s">
        <v>23</v>
      </c>
      <c r="E9" s="17" t="s">
        <v>24</v>
      </c>
      <c r="F9" s="29" t="s">
        <v>142</v>
      </c>
      <c r="G9" s="24"/>
      <c r="H9" s="20"/>
      <c r="J9" s="367" t="s">
        <v>25</v>
      </c>
      <c r="K9" s="368"/>
    </row>
    <row r="10" spans="1:11" ht="21" customHeight="1" x14ac:dyDescent="0.3">
      <c r="A10" s="21" t="s">
        <v>26</v>
      </c>
      <c r="B10" s="26" t="b">
        <v>0</v>
      </c>
      <c r="C10" s="30" t="s">
        <v>27</v>
      </c>
      <c r="D10" s="31" t="s">
        <v>28</v>
      </c>
      <c r="E10" s="17" t="s">
        <v>29</v>
      </c>
      <c r="F10" s="29" t="s">
        <v>143</v>
      </c>
      <c r="G10" s="24"/>
      <c r="H10" s="20"/>
      <c r="J10" s="32"/>
      <c r="K10" s="33" t="s">
        <v>30</v>
      </c>
    </row>
    <row r="11" spans="1:11" ht="15" customHeight="1" x14ac:dyDescent="0.3">
      <c r="A11" s="21" t="s">
        <v>31</v>
      </c>
      <c r="B11" s="26" t="b">
        <v>0</v>
      </c>
      <c r="C11" s="34" t="s">
        <v>32</v>
      </c>
      <c r="D11" s="35" t="s">
        <v>33</v>
      </c>
      <c r="E11" s="17" t="s">
        <v>34</v>
      </c>
      <c r="F11" s="29" t="s">
        <v>144</v>
      </c>
      <c r="G11" s="24"/>
      <c r="H11" s="20"/>
      <c r="J11" s="36"/>
      <c r="K11" s="37" t="s">
        <v>35</v>
      </c>
    </row>
    <row r="12" spans="1:11" ht="28.5" customHeight="1" x14ac:dyDescent="0.3">
      <c r="A12" s="38" t="s">
        <v>36</v>
      </c>
      <c r="B12" s="26" t="b">
        <v>0</v>
      </c>
      <c r="C12" s="39"/>
      <c r="D12" s="39"/>
      <c r="E12" s="17" t="s">
        <v>37</v>
      </c>
      <c r="F12" s="29" t="s">
        <v>142</v>
      </c>
      <c r="G12" s="24"/>
      <c r="H12" s="20"/>
      <c r="J12" s="40"/>
      <c r="K12" s="37" t="s">
        <v>38</v>
      </c>
    </row>
    <row r="13" spans="1:11" ht="14.25" customHeight="1" x14ac:dyDescent="0.3">
      <c r="A13" s="21" t="s">
        <v>39</v>
      </c>
      <c r="B13" s="41"/>
      <c r="C13" s="39"/>
      <c r="D13" s="39"/>
      <c r="E13" s="17" t="s">
        <v>40</v>
      </c>
      <c r="F13" s="29" t="s">
        <v>143</v>
      </c>
      <c r="G13" s="24"/>
      <c r="H13" s="20"/>
      <c r="J13" s="42"/>
      <c r="K13" s="43" t="s">
        <v>41</v>
      </c>
    </row>
    <row r="14" spans="1:11" ht="14.25" customHeight="1" x14ac:dyDescent="0.3">
      <c r="A14" s="21" t="s">
        <v>42</v>
      </c>
      <c r="B14" s="44" t="s">
        <v>145</v>
      </c>
      <c r="C14" s="45" t="s">
        <v>43</v>
      </c>
      <c r="D14" s="39"/>
      <c r="E14" s="17" t="s">
        <v>44</v>
      </c>
      <c r="F14" s="29" t="s">
        <v>146</v>
      </c>
      <c r="G14" s="24"/>
      <c r="H14" s="20"/>
    </row>
    <row r="15" spans="1:11" ht="14.25" customHeight="1" x14ac:dyDescent="0.3">
      <c r="A15" s="46"/>
      <c r="B15" s="47"/>
      <c r="C15" s="39"/>
      <c r="D15" s="39"/>
      <c r="E15" s="48" t="s">
        <v>45</v>
      </c>
      <c r="F15" s="49" t="s">
        <v>147</v>
      </c>
      <c r="G15" s="2" t="s">
        <v>46</v>
      </c>
      <c r="H15" s="20"/>
    </row>
    <row r="16" spans="1:11" ht="15" customHeight="1" x14ac:dyDescent="0.3">
      <c r="A16" s="3" t="s">
        <v>47</v>
      </c>
      <c r="B16" s="50" t="b">
        <v>0</v>
      </c>
      <c r="C16" s="51" t="s">
        <v>48</v>
      </c>
      <c r="D16" s="52"/>
      <c r="E16" s="53"/>
      <c r="F16" s="54"/>
      <c r="G16" s="55"/>
      <c r="H16" s="14"/>
    </row>
    <row r="17" spans="1:8" ht="15" customHeight="1" x14ac:dyDescent="0.3">
      <c r="A17" s="21" t="s">
        <v>49</v>
      </c>
      <c r="B17" s="56" t="b">
        <v>0</v>
      </c>
      <c r="C17" s="57" t="s">
        <v>50</v>
      </c>
      <c r="D17" s="39"/>
      <c r="E17" s="58"/>
      <c r="F17" s="59"/>
      <c r="G17" s="55"/>
      <c r="H17" s="14"/>
    </row>
    <row r="18" spans="1:8" ht="15" customHeight="1" x14ac:dyDescent="0.3">
      <c r="A18" s="21" t="s">
        <v>51</v>
      </c>
      <c r="B18" s="56" t="b">
        <v>0</v>
      </c>
      <c r="C18" s="57" t="s">
        <v>50</v>
      </c>
      <c r="D18" s="39"/>
      <c r="E18" s="58"/>
      <c r="F18" s="59"/>
      <c r="G18" s="55"/>
      <c r="H18" s="14"/>
    </row>
    <row r="19" spans="1:8" ht="15" customHeight="1" x14ac:dyDescent="0.3">
      <c r="A19" s="21" t="s">
        <v>52</v>
      </c>
      <c r="B19" s="56" t="b">
        <v>0</v>
      </c>
      <c r="C19" s="57" t="s">
        <v>50</v>
      </c>
      <c r="D19" s="39"/>
      <c r="E19" s="58"/>
      <c r="F19" s="60"/>
      <c r="G19" s="55"/>
      <c r="H19" s="14"/>
    </row>
    <row r="20" spans="1:8" ht="15" customHeight="1" x14ac:dyDescent="0.3">
      <c r="A20" s="21" t="s">
        <v>53</v>
      </c>
      <c r="B20" s="56" t="b">
        <v>0</v>
      </c>
      <c r="C20" s="57" t="s">
        <v>50</v>
      </c>
      <c r="D20" s="61" t="s">
        <v>54</v>
      </c>
      <c r="E20" s="58"/>
      <c r="F20" s="60"/>
      <c r="G20" s="55"/>
      <c r="H20" s="14"/>
    </row>
    <row r="21" spans="1:8" ht="15" customHeight="1" x14ac:dyDescent="0.3">
      <c r="A21" s="21" t="s">
        <v>55</v>
      </c>
      <c r="B21" s="56" t="b">
        <v>0</v>
      </c>
      <c r="C21" s="57" t="s">
        <v>56</v>
      </c>
      <c r="D21" s="39"/>
      <c r="E21" s="58"/>
      <c r="F21" s="60"/>
      <c r="G21" s="55"/>
      <c r="H21" s="14"/>
    </row>
    <row r="22" spans="1:8" ht="15" customHeight="1" x14ac:dyDescent="0.3">
      <c r="A22" s="10" t="s">
        <v>57</v>
      </c>
      <c r="B22" s="62" t="b">
        <v>0</v>
      </c>
      <c r="C22" s="63" t="s">
        <v>58</v>
      </c>
      <c r="D22" s="64"/>
      <c r="E22" s="65"/>
      <c r="F22" s="66"/>
      <c r="G22" s="67" t="s">
        <v>59</v>
      </c>
      <c r="H22" s="14"/>
    </row>
    <row r="23" spans="1:8" ht="67.5" customHeight="1" x14ac:dyDescent="0.3">
      <c r="A23" s="369" t="s">
        <v>60</v>
      </c>
      <c r="B23" s="370"/>
      <c r="C23" s="370"/>
      <c r="D23" s="370"/>
      <c r="E23" s="370"/>
      <c r="F23" s="371"/>
      <c r="G23" s="68"/>
      <c r="H23" s="20"/>
    </row>
    <row r="24" spans="1:8" ht="14.25" customHeight="1" x14ac:dyDescent="0.3">
      <c r="A24" s="19" t="s">
        <v>61</v>
      </c>
      <c r="B24" s="69" t="b">
        <v>0</v>
      </c>
      <c r="C24" s="70" t="s">
        <v>62</v>
      </c>
      <c r="D24" s="39"/>
      <c r="E24" s="19" t="s">
        <v>63</v>
      </c>
      <c r="F24" s="71" t="s">
        <v>148</v>
      </c>
      <c r="G24" s="24"/>
      <c r="H24" s="20"/>
    </row>
    <row r="25" spans="1:8" ht="14.25" customHeight="1" x14ac:dyDescent="0.3">
      <c r="A25" s="72"/>
      <c r="B25" s="73"/>
      <c r="C25" s="39"/>
      <c r="D25" s="39"/>
      <c r="E25" s="17" t="s">
        <v>64</v>
      </c>
      <c r="F25" s="74" t="s">
        <v>510</v>
      </c>
      <c r="G25" s="24"/>
      <c r="H25" s="20"/>
    </row>
    <row r="26" spans="1:8" ht="14.25" customHeight="1" x14ac:dyDescent="0.3">
      <c r="A26" s="65"/>
      <c r="B26" s="75"/>
      <c r="C26" s="39"/>
      <c r="D26" s="39"/>
      <c r="E26" s="76" t="s">
        <v>65</v>
      </c>
      <c r="F26" s="77" t="s">
        <v>473</v>
      </c>
      <c r="G26" s="24"/>
      <c r="H26" s="20"/>
    </row>
    <row r="27" spans="1:8" ht="44.25" customHeight="1" x14ac:dyDescent="0.3">
      <c r="A27" s="369" t="s">
        <v>66</v>
      </c>
      <c r="B27" s="370"/>
      <c r="C27" s="370"/>
      <c r="D27" s="370"/>
      <c r="E27" s="370"/>
      <c r="F27" s="371"/>
      <c r="G27" s="24"/>
      <c r="H27" s="20"/>
    </row>
    <row r="28" spans="1:8" ht="14.25" customHeight="1" x14ac:dyDescent="0.3">
      <c r="A28" s="19" t="s">
        <v>67</v>
      </c>
      <c r="B28" s="69">
        <v>250</v>
      </c>
      <c r="C28" s="19" t="s">
        <v>68</v>
      </c>
      <c r="D28" s="69">
        <v>20</v>
      </c>
      <c r="E28" s="19" t="s">
        <v>69</v>
      </c>
      <c r="F28" s="71">
        <v>266.5</v>
      </c>
      <c r="G28" s="24"/>
      <c r="H28" s="20"/>
    </row>
    <row r="29" spans="1:8" ht="14.25" customHeight="1" x14ac:dyDescent="0.3">
      <c r="A29" s="72" t="s">
        <v>70</v>
      </c>
      <c r="B29" s="78" t="b">
        <v>0</v>
      </c>
      <c r="C29" s="19" t="s">
        <v>16</v>
      </c>
      <c r="D29" s="71" t="s">
        <v>953</v>
      </c>
      <c r="E29" s="17" t="s">
        <v>71</v>
      </c>
      <c r="F29" s="74">
        <v>2</v>
      </c>
      <c r="G29" s="24"/>
      <c r="H29" s="20"/>
    </row>
    <row r="30" spans="1:8" ht="60" customHeight="1" x14ac:dyDescent="0.3">
      <c r="A30" s="79" t="s">
        <v>53</v>
      </c>
      <c r="B30" s="78" t="b">
        <v>0</v>
      </c>
      <c r="C30" s="45" t="s">
        <v>22</v>
      </c>
      <c r="D30" s="8" t="s">
        <v>72</v>
      </c>
      <c r="E30" s="17" t="s">
        <v>73</v>
      </c>
      <c r="F30" s="74">
        <v>0</v>
      </c>
      <c r="G30" s="24"/>
      <c r="H30" s="20"/>
    </row>
    <row r="31" spans="1:8" ht="15.75" customHeight="1" x14ac:dyDescent="0.3">
      <c r="A31" s="21" t="s">
        <v>26</v>
      </c>
      <c r="B31" s="78" t="b">
        <v>0</v>
      </c>
      <c r="C31" s="80" t="s">
        <v>22</v>
      </c>
      <c r="D31" s="81" t="s">
        <v>74</v>
      </c>
      <c r="E31" s="17" t="s">
        <v>75</v>
      </c>
      <c r="F31" s="74">
        <v>35</v>
      </c>
      <c r="G31" s="24"/>
      <c r="H31" s="20"/>
    </row>
    <row r="32" spans="1:8" ht="14.25" customHeight="1" x14ac:dyDescent="0.3">
      <c r="A32" s="65" t="s">
        <v>76</v>
      </c>
      <c r="B32" s="82" t="b">
        <v>0</v>
      </c>
      <c r="C32" s="34" t="s">
        <v>27</v>
      </c>
      <c r="D32" s="83" t="s">
        <v>77</v>
      </c>
      <c r="E32" s="76" t="s">
        <v>78</v>
      </c>
      <c r="F32" s="77">
        <v>50</v>
      </c>
      <c r="G32" s="24"/>
      <c r="H32" s="20"/>
    </row>
    <row r="33" spans="1:8" ht="14.25" customHeight="1" x14ac:dyDescent="0.3">
      <c r="A33" s="369" t="s">
        <v>79</v>
      </c>
      <c r="B33" s="370"/>
      <c r="C33" s="370"/>
      <c r="D33" s="370"/>
      <c r="E33" s="370"/>
      <c r="F33" s="371"/>
      <c r="G33" s="24"/>
      <c r="H33" s="20"/>
    </row>
    <row r="34" spans="1:8" ht="14.25" customHeight="1" x14ac:dyDescent="0.3">
      <c r="A34" s="372" t="s">
        <v>80</v>
      </c>
      <c r="B34" s="370"/>
      <c r="C34" s="370"/>
      <c r="D34" s="370"/>
      <c r="E34" s="370"/>
      <c r="F34" s="371"/>
      <c r="G34" s="24"/>
      <c r="H34" s="20"/>
    </row>
    <row r="35" spans="1:8" ht="14.25" customHeight="1" x14ac:dyDescent="0.3">
      <c r="A35" s="84" t="s">
        <v>81</v>
      </c>
      <c r="B35" s="85">
        <v>5</v>
      </c>
      <c r="C35" s="86" t="s">
        <v>82</v>
      </c>
      <c r="D35" s="85">
        <v>20</v>
      </c>
      <c r="E35" s="87" t="s">
        <v>83</v>
      </c>
      <c r="F35" s="88">
        <v>12.5</v>
      </c>
      <c r="G35" s="24"/>
      <c r="H35" s="20"/>
    </row>
    <row r="36" spans="1:8" ht="14.25" customHeight="1" x14ac:dyDescent="0.3">
      <c r="A36" s="46" t="s">
        <v>84</v>
      </c>
      <c r="B36" s="85">
        <v>4.5</v>
      </c>
      <c r="C36" s="89" t="s">
        <v>85</v>
      </c>
      <c r="D36" s="85">
        <v>5.3</v>
      </c>
      <c r="E36" s="90" t="s">
        <v>86</v>
      </c>
      <c r="F36" s="88">
        <v>7.2</v>
      </c>
      <c r="G36" s="24"/>
      <c r="H36" s="20"/>
    </row>
    <row r="37" spans="1:8" ht="15" customHeight="1" x14ac:dyDescent="0.3">
      <c r="A37" s="372" t="s">
        <v>87</v>
      </c>
      <c r="B37" s="370"/>
      <c r="C37" s="370"/>
      <c r="D37" s="370"/>
      <c r="E37" s="370"/>
      <c r="F37" s="371"/>
      <c r="G37" s="24"/>
      <c r="H37" s="20"/>
    </row>
    <row r="38" spans="1:8" ht="31.5" customHeight="1" x14ac:dyDescent="0.3">
      <c r="A38" s="84" t="s">
        <v>81</v>
      </c>
      <c r="B38" s="85">
        <v>6</v>
      </c>
      <c r="C38" s="86" t="s">
        <v>88</v>
      </c>
      <c r="D38" s="85">
        <v>15</v>
      </c>
      <c r="E38" s="86" t="s">
        <v>89</v>
      </c>
      <c r="F38" s="88">
        <v>10</v>
      </c>
      <c r="G38" s="24"/>
      <c r="H38" s="20"/>
    </row>
    <row r="39" spans="1:8" ht="45" customHeight="1" x14ac:dyDescent="0.3">
      <c r="A39" s="46" t="s">
        <v>90</v>
      </c>
      <c r="B39" s="85" t="s">
        <v>91</v>
      </c>
      <c r="C39" s="89" t="s">
        <v>92</v>
      </c>
      <c r="D39" s="85">
        <v>30</v>
      </c>
      <c r="E39" s="89" t="s">
        <v>93</v>
      </c>
      <c r="F39" s="88">
        <v>100</v>
      </c>
      <c r="G39" s="24"/>
      <c r="H39" s="20"/>
    </row>
    <row r="40" spans="1:8" ht="33.75" customHeight="1" x14ac:dyDescent="0.3">
      <c r="A40" s="46" t="s">
        <v>94</v>
      </c>
      <c r="B40" s="85">
        <v>9</v>
      </c>
      <c r="C40" s="89" t="s">
        <v>95</v>
      </c>
      <c r="D40" s="85">
        <v>20</v>
      </c>
      <c r="E40" s="89" t="s">
        <v>96</v>
      </c>
      <c r="F40" s="88">
        <v>7</v>
      </c>
      <c r="G40" s="24"/>
      <c r="H40" s="20"/>
    </row>
    <row r="41" spans="1:8" ht="42" customHeight="1" x14ac:dyDescent="0.3">
      <c r="A41" s="48" t="s">
        <v>97</v>
      </c>
      <c r="B41" s="85">
        <v>18</v>
      </c>
      <c r="C41" s="89" t="s">
        <v>92</v>
      </c>
      <c r="D41" s="85">
        <v>30</v>
      </c>
      <c r="E41" s="89"/>
      <c r="F41" s="88"/>
      <c r="G41" s="24"/>
      <c r="H41" s="20"/>
    </row>
    <row r="42" spans="1:8" ht="22.5" customHeight="1" x14ac:dyDescent="0.3">
      <c r="A42" s="372" t="s">
        <v>98</v>
      </c>
      <c r="B42" s="370"/>
      <c r="C42" s="370"/>
      <c r="D42" s="370"/>
      <c r="E42" s="370"/>
      <c r="F42" s="371"/>
      <c r="G42" s="24"/>
      <c r="H42" s="20"/>
    </row>
    <row r="43" spans="1:8" ht="14.25" customHeight="1" x14ac:dyDescent="0.3">
      <c r="A43" s="48" t="s">
        <v>99</v>
      </c>
      <c r="B43" s="85">
        <v>1.2</v>
      </c>
      <c r="C43" s="89" t="s">
        <v>100</v>
      </c>
      <c r="D43" s="85">
        <v>0.8</v>
      </c>
      <c r="E43" s="89" t="s">
        <v>101</v>
      </c>
      <c r="F43" s="88">
        <v>1.2</v>
      </c>
      <c r="G43" s="24"/>
      <c r="H43" s="20"/>
    </row>
    <row r="44" spans="1:8" ht="14.25" customHeight="1" x14ac:dyDescent="0.3">
      <c r="A44" s="48" t="s">
        <v>102</v>
      </c>
      <c r="B44" s="85">
        <v>25</v>
      </c>
      <c r="C44" s="89" t="s">
        <v>103</v>
      </c>
      <c r="D44" s="85">
        <v>2</v>
      </c>
      <c r="E44" s="89" t="s">
        <v>104</v>
      </c>
      <c r="F44" s="88">
        <v>9</v>
      </c>
      <c r="G44" s="24"/>
      <c r="H44" s="20"/>
    </row>
    <row r="45" spans="1:8" ht="14.25" customHeight="1" x14ac:dyDescent="0.3">
      <c r="A45" s="369" t="s">
        <v>105</v>
      </c>
      <c r="B45" s="370"/>
      <c r="C45" s="370"/>
      <c r="D45" s="370"/>
      <c r="E45" s="370"/>
      <c r="F45" s="371"/>
      <c r="G45" s="24"/>
      <c r="H45" s="20"/>
    </row>
    <row r="46" spans="1:8" ht="14.25" customHeight="1" x14ac:dyDescent="0.3">
      <c r="A46" s="19" t="s">
        <v>106</v>
      </c>
      <c r="B46" s="69" t="b">
        <v>0</v>
      </c>
      <c r="C46" s="45" t="s">
        <v>107</v>
      </c>
      <c r="D46" s="8" t="s">
        <v>108</v>
      </c>
      <c r="E46" s="19" t="s">
        <v>109</v>
      </c>
      <c r="F46" s="71" t="s">
        <v>149</v>
      </c>
      <c r="G46" s="24"/>
      <c r="H46" s="20"/>
    </row>
    <row r="47" spans="1:8" ht="29.25" customHeight="1" x14ac:dyDescent="0.3">
      <c r="A47" s="58" t="s">
        <v>36</v>
      </c>
      <c r="B47" s="91" t="b">
        <v>0</v>
      </c>
      <c r="C47" s="45" t="s">
        <v>110</v>
      </c>
      <c r="D47" s="8" t="s">
        <v>111</v>
      </c>
      <c r="E47" s="48"/>
      <c r="F47" s="92"/>
      <c r="G47" s="24"/>
      <c r="H47" s="20"/>
    </row>
    <row r="48" spans="1:8" ht="65.25" customHeight="1" x14ac:dyDescent="0.3">
      <c r="A48" s="369" t="s">
        <v>112</v>
      </c>
      <c r="B48" s="370"/>
      <c r="C48" s="370"/>
      <c r="D48" s="370"/>
      <c r="E48" s="370"/>
      <c r="F48" s="371"/>
      <c r="G48" s="24"/>
      <c r="H48" s="20"/>
    </row>
    <row r="49" spans="1:8" ht="14.25" customHeight="1" x14ac:dyDescent="0.3">
      <c r="A49" s="93" t="s">
        <v>113</v>
      </c>
      <c r="B49" s="11">
        <v>250</v>
      </c>
      <c r="C49" s="52"/>
      <c r="D49" s="52"/>
      <c r="E49" s="52"/>
      <c r="F49" s="52"/>
      <c r="G49" s="24"/>
      <c r="H49" s="20"/>
    </row>
    <row r="50" spans="1:8" ht="14.25" customHeight="1" x14ac:dyDescent="0.3">
      <c r="A50" s="94" t="s">
        <v>114</v>
      </c>
      <c r="B50" s="95" t="s">
        <v>115</v>
      </c>
      <c r="C50" s="95" t="s">
        <v>116</v>
      </c>
      <c r="D50" s="95" t="s">
        <v>117</v>
      </c>
      <c r="E50" s="95" t="s">
        <v>118</v>
      </c>
      <c r="F50" s="96" t="s">
        <v>119</v>
      </c>
      <c r="G50" s="24"/>
      <c r="H50" s="20"/>
    </row>
    <row r="51" spans="1:8" ht="14.25" customHeight="1" x14ac:dyDescent="0.3">
      <c r="A51" s="97" t="s">
        <v>153</v>
      </c>
      <c r="B51" s="98" t="s">
        <v>150</v>
      </c>
      <c r="C51" s="98" t="s">
        <v>151</v>
      </c>
      <c r="D51" s="98" t="s">
        <v>151</v>
      </c>
      <c r="E51" s="98" t="s">
        <v>151</v>
      </c>
      <c r="F51" s="99">
        <v>1500</v>
      </c>
      <c r="G51" s="24"/>
      <c r="H51" s="20"/>
    </row>
    <row r="52" spans="1:8" ht="14.25" customHeight="1" x14ac:dyDescent="0.3">
      <c r="A52" s="100" t="s">
        <v>120</v>
      </c>
      <c r="B52" s="101" t="s">
        <v>121</v>
      </c>
      <c r="C52" s="101" t="s">
        <v>122</v>
      </c>
      <c r="D52" s="101" t="s">
        <v>123</v>
      </c>
      <c r="E52" s="101" t="s">
        <v>124</v>
      </c>
      <c r="F52" s="102" t="s">
        <v>125</v>
      </c>
      <c r="G52" s="24"/>
      <c r="H52" s="20"/>
    </row>
    <row r="53" spans="1:8" ht="120" customHeight="1" x14ac:dyDescent="0.3">
      <c r="A53" s="97">
        <v>60</v>
      </c>
      <c r="B53" s="98" t="s">
        <v>887</v>
      </c>
      <c r="C53" s="98">
        <v>12</v>
      </c>
      <c r="D53" s="98" t="s">
        <v>886</v>
      </c>
      <c r="E53" s="98" t="s">
        <v>153</v>
      </c>
      <c r="F53" s="99" t="s">
        <v>152</v>
      </c>
      <c r="G53" s="24"/>
      <c r="H53" s="20"/>
    </row>
    <row r="54" spans="1:8" ht="44.25" customHeight="1" thickBot="1" x14ac:dyDescent="0.35">
      <c r="A54" s="100" t="s">
        <v>126</v>
      </c>
      <c r="B54" s="101" t="s">
        <v>127</v>
      </c>
      <c r="C54" s="101" t="s">
        <v>128</v>
      </c>
      <c r="D54" s="103"/>
      <c r="E54" s="103"/>
      <c r="F54" s="104"/>
      <c r="G54" s="24"/>
      <c r="H54" s="20"/>
    </row>
    <row r="55" spans="1:8" ht="57" customHeight="1" thickBot="1" x14ac:dyDescent="0.35">
      <c r="A55" s="105" t="s">
        <v>150</v>
      </c>
      <c r="B55" s="106" t="s">
        <v>153</v>
      </c>
      <c r="C55" s="107" t="s">
        <v>153</v>
      </c>
      <c r="D55" s="108"/>
      <c r="E55" s="491"/>
      <c r="F55" s="109"/>
      <c r="G55" s="110"/>
      <c r="H55" s="111"/>
    </row>
    <row r="56" spans="1:8" ht="27" customHeight="1" thickBot="1" x14ac:dyDescent="0.35">
      <c r="A56" s="112" t="s">
        <v>129</v>
      </c>
      <c r="B56" s="485" t="s">
        <v>130</v>
      </c>
      <c r="C56" s="488" t="s">
        <v>138</v>
      </c>
      <c r="D56" s="485" t="s">
        <v>131</v>
      </c>
      <c r="E56" s="488">
        <v>1</v>
      </c>
    </row>
    <row r="57" spans="1:8" ht="22.5" customHeight="1" thickBot="1" x14ac:dyDescent="0.35">
      <c r="A57" s="112" t="s">
        <v>132</v>
      </c>
      <c r="B57" s="486" t="s">
        <v>133</v>
      </c>
      <c r="C57" s="489" t="s">
        <v>398</v>
      </c>
      <c r="D57" s="486" t="s">
        <v>134</v>
      </c>
      <c r="E57" s="489" t="s">
        <v>889</v>
      </c>
    </row>
    <row r="58" spans="1:8" ht="29.4" thickBot="1" x14ac:dyDescent="0.35">
      <c r="A58" s="2" t="s">
        <v>135</v>
      </c>
      <c r="B58" s="487" t="s">
        <v>136</v>
      </c>
      <c r="C58" s="490">
        <v>2560</v>
      </c>
      <c r="D58" s="487" t="s">
        <v>137</v>
      </c>
      <c r="E58" s="490" t="s">
        <v>890</v>
      </c>
    </row>
    <row r="59" spans="1:8" ht="14.25" customHeight="1" x14ac:dyDescent="0.3"/>
    <row r="60" spans="1:8" ht="14.25" customHeight="1" x14ac:dyDescent="0.3">
      <c r="B60" s="118"/>
    </row>
    <row r="61" spans="1:8" ht="14.25" customHeight="1" x14ac:dyDescent="0.3">
      <c r="C61" s="360"/>
    </row>
    <row r="62" spans="1:8" ht="14.25" customHeight="1" x14ac:dyDescent="0.3"/>
    <row r="63" spans="1:8" ht="14.25" customHeight="1" x14ac:dyDescent="0.3"/>
    <row r="64" spans="1:8" ht="14.25" customHeight="1" x14ac:dyDescent="0.3">
      <c r="B64" s="119"/>
    </row>
    <row r="65" spans="2:5" ht="14.25" customHeight="1" x14ac:dyDescent="0.3"/>
    <row r="66" spans="2:5" ht="14.25" customHeight="1" x14ac:dyDescent="0.3">
      <c r="D66" s="118"/>
      <c r="E66" s="118"/>
    </row>
    <row r="67" spans="2:5" ht="14.25" customHeight="1" x14ac:dyDescent="0.3"/>
    <row r="68" spans="2:5" ht="14.25" customHeight="1" x14ac:dyDescent="0.3"/>
    <row r="69" spans="2:5" ht="14.25" customHeight="1" x14ac:dyDescent="0.3"/>
    <row r="70" spans="2:5" ht="14.25" customHeight="1" x14ac:dyDescent="0.3"/>
    <row r="71" spans="2:5" ht="14.25" customHeight="1" x14ac:dyDescent="0.3"/>
    <row r="72" spans="2:5" ht="14.25" customHeight="1" x14ac:dyDescent="0.3"/>
    <row r="73" spans="2:5" ht="14.25" customHeight="1" x14ac:dyDescent="0.3"/>
    <row r="74" spans="2:5" ht="14.25" customHeight="1" x14ac:dyDescent="0.3">
      <c r="B74" s="120"/>
    </row>
    <row r="75" spans="2:5" ht="14.25" customHeight="1" x14ac:dyDescent="0.3"/>
    <row r="76" spans="2:5" ht="14.25" customHeight="1" x14ac:dyDescent="0.3"/>
    <row r="77" spans="2:5" ht="14.25" customHeight="1" x14ac:dyDescent="0.3"/>
    <row r="78" spans="2:5" ht="14.25" customHeight="1" x14ac:dyDescent="0.3"/>
    <row r="79" spans="2:5" ht="14.25" customHeight="1" x14ac:dyDescent="0.3"/>
    <row r="80" spans="2:5"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mergeCells count="12">
    <mergeCell ref="A1:F1"/>
    <mergeCell ref="A4:F5"/>
    <mergeCell ref="A6:F6"/>
    <mergeCell ref="A45:F45"/>
    <mergeCell ref="A48:F48"/>
    <mergeCell ref="J9:K9"/>
    <mergeCell ref="A23:F23"/>
    <mergeCell ref="A34:F34"/>
    <mergeCell ref="A37:F37"/>
    <mergeCell ref="A42:F42"/>
    <mergeCell ref="A27:F27"/>
    <mergeCell ref="A33:F33"/>
  </mergeCells>
  <dataValidations count="2">
    <dataValidation type="decimal" allowBlank="1" showErrorMessage="1" sqref="D2" xr:uid="{00000000-0002-0000-0000-000004000000}">
      <formula1>0</formula1>
      <formula2>10000000000000</formula2>
    </dataValidation>
    <dataValidation type="list" allowBlank="1" showErrorMessage="1" sqref="J8" xr:uid="{00000000-0002-0000-0000-000005000000}">
      <formula1>#REF!</formula1>
    </dataValidation>
  </dataValidations>
  <pageMargins left="0.7" right="0.7" top="0.75" bottom="0.75" header="0" footer="0"/>
  <pageSetup paperSize="9" fitToHeight="0" orientation="portrait"/>
  <legacyDrawing r:id="rId1"/>
  <extLst>
    <ext xmlns:x14="http://schemas.microsoft.com/office/spreadsheetml/2009/9/main" uri="{CCE6A557-97BC-4b89-ADB6-D9C93CAAB3DF}">
      <x14:dataValidations xmlns:xm="http://schemas.microsoft.com/office/excel/2006/main" count="6">
        <x14:dataValidation type="list" allowBlank="1" showErrorMessage="1" xr:uid="{00000000-0002-0000-0000-000000000000}">
          <x14:formula1>
            <xm:f>Listas!$C$2:$C$9</xm:f>
          </x14:formula1>
          <xm:sqref>C57</xm:sqref>
        </x14:dataValidation>
        <x14:dataValidation type="list" allowBlank="1" showErrorMessage="1" xr:uid="{00000000-0002-0000-0000-000001000000}">
          <x14:formula1>
            <xm:f>Listas!$M$2:$M$5</xm:f>
          </x14:formula1>
          <xm:sqref>B14:B15</xm:sqref>
        </x14:dataValidation>
        <x14:dataValidation type="list" allowBlank="1" showErrorMessage="1" xr:uid="{00000000-0002-0000-0000-000002000000}">
          <x14:formula1>
            <xm:f>Listas!$A$2:$A$6</xm:f>
          </x14:formula1>
          <xm:sqref>B2 C56</xm:sqref>
        </x14:dataValidation>
        <x14:dataValidation type="list" allowBlank="1" showErrorMessage="1" xr:uid="{00000000-0002-0000-0000-000003000000}">
          <x14:formula1>
            <xm:f>Listas!$E$2:$E$3</xm:f>
          </x14:formula1>
          <xm:sqref>B3</xm:sqref>
        </x14:dataValidation>
        <x14:dataValidation type="list" allowBlank="1" showErrorMessage="1" xr:uid="{00000000-0002-0000-0000-000006000000}">
          <x14:formula1>
            <xm:f>Listas!$I$2:$I$3</xm:f>
          </x14:formula1>
          <xm:sqref>D3</xm:sqref>
        </x14:dataValidation>
        <x14:dataValidation type="list" allowBlank="1" showErrorMessage="1" xr:uid="{00000000-0002-0000-0000-000007000000}">
          <x14:formula1>
            <xm:f>Listas!$G$2:$G$3</xm:f>
          </x14:formula1>
          <xm:sqref>B9:B12 B16:B22 B24 B29:B32 B46:B47 B64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AA13F7-8F08-44F4-AF8E-53447DFAD2D2}">
  <sheetPr codeName="Hoja42">
    <tabColor rgb="FF3498DB"/>
    <pageSetUpPr fitToPage="1"/>
  </sheetPr>
  <dimension ref="A1:K1000"/>
  <sheetViews>
    <sheetView topLeftCell="A23" workbookViewId="0">
      <selection activeCell="C10" sqref="C10"/>
    </sheetView>
  </sheetViews>
  <sheetFormatPr baseColWidth="10" defaultColWidth="0" defaultRowHeight="15" customHeight="1" zeroHeight="1" x14ac:dyDescent="0.3"/>
  <cols>
    <col min="1" max="1" width="58.44140625" customWidth="1"/>
    <col min="2" max="2" width="17.33203125" customWidth="1"/>
    <col min="3" max="3" width="23.33203125" customWidth="1"/>
    <col min="4" max="4" width="15.109375" customWidth="1"/>
    <col min="5" max="5" width="37.109375" customWidth="1"/>
    <col min="6" max="6" width="27.6640625" customWidth="1"/>
    <col min="7" max="7" width="23" customWidth="1"/>
    <col min="8" max="8" width="15.88671875" customWidth="1"/>
    <col min="9" max="9" width="14.33203125" hidden="1" customWidth="1"/>
    <col min="10" max="10" width="8.88671875" hidden="1" customWidth="1"/>
    <col min="11" max="16384" width="14.44140625" hidden="1"/>
  </cols>
  <sheetData>
    <row r="1" spans="1:11" ht="35.25" customHeight="1" thickBot="1" x14ac:dyDescent="0.35">
      <c r="A1" s="373" t="s">
        <v>0</v>
      </c>
      <c r="B1" s="374"/>
      <c r="C1" s="374"/>
      <c r="D1" s="374"/>
      <c r="E1" s="374"/>
      <c r="F1" s="368"/>
      <c r="G1" s="1" t="s">
        <v>1</v>
      </c>
      <c r="H1" s="2" t="s">
        <v>2</v>
      </c>
    </row>
    <row r="2" spans="1:11" ht="14.25" customHeight="1" x14ac:dyDescent="0.3">
      <c r="A2" s="3" t="s">
        <v>3</v>
      </c>
      <c r="B2" s="4" t="s">
        <v>138</v>
      </c>
      <c r="C2" s="5" t="s">
        <v>4</v>
      </c>
      <c r="D2" s="6">
        <v>250</v>
      </c>
      <c r="E2" s="5" t="s">
        <v>5</v>
      </c>
      <c r="F2" s="7" t="str" cm="1">
        <f t="array" ref="F2">INDEX(_xlfn._xlws.FILTER(Listas!$C$2:$C$9,Listas!$B$2:$B$9&lt;&gt;""),MATCH(1,(VALUE(_xlfn._xlws.FILTER(Listas!$B$2:$B$9,Listas!$B$2:$B$9&lt;&gt;""))&gt;=D2)*1,0))</f>
        <v>Bajo 1</v>
      </c>
      <c r="G2" s="8" t="s">
        <v>6</v>
      </c>
      <c r="H2" s="9"/>
    </row>
    <row r="3" spans="1:11" ht="14.25" customHeight="1" thickBot="1" x14ac:dyDescent="0.35">
      <c r="A3" s="10" t="s">
        <v>7</v>
      </c>
      <c r="B3" s="11" t="s">
        <v>139</v>
      </c>
      <c r="C3" s="12" t="s">
        <v>8</v>
      </c>
      <c r="D3" s="11" t="s">
        <v>187</v>
      </c>
      <c r="E3" s="12" t="s">
        <v>9</v>
      </c>
      <c r="F3" s="11">
        <v>250</v>
      </c>
      <c r="G3" s="13" t="s">
        <v>884</v>
      </c>
      <c r="H3" s="14"/>
    </row>
    <row r="4" spans="1:11" ht="18" customHeight="1" x14ac:dyDescent="0.3">
      <c r="A4" s="375" t="s">
        <v>10</v>
      </c>
      <c r="B4" s="376"/>
      <c r="C4" s="376"/>
      <c r="D4" s="376"/>
      <c r="E4" s="376"/>
      <c r="F4" s="377"/>
      <c r="G4" s="8" t="s">
        <v>11</v>
      </c>
      <c r="H4" s="14"/>
    </row>
    <row r="5" spans="1:11" ht="15" customHeight="1" thickBot="1" x14ac:dyDescent="0.35">
      <c r="A5" s="378"/>
      <c r="B5" s="379"/>
      <c r="C5" s="379"/>
      <c r="D5" s="379"/>
      <c r="E5" s="379"/>
      <c r="F5" s="380"/>
      <c r="G5" s="15" t="s">
        <v>885</v>
      </c>
      <c r="H5" s="14"/>
    </row>
    <row r="6" spans="1:11" ht="14.25" customHeight="1" thickBot="1" x14ac:dyDescent="0.35">
      <c r="A6" s="381" t="s">
        <v>12</v>
      </c>
      <c r="B6" s="374"/>
      <c r="C6" s="374"/>
      <c r="D6" s="374"/>
      <c r="E6" s="374"/>
      <c r="F6" s="382"/>
      <c r="G6" s="359" t="s">
        <v>888</v>
      </c>
      <c r="H6" s="2" t="s">
        <v>13</v>
      </c>
    </row>
    <row r="7" spans="1:11" ht="14.25" customHeight="1" thickBot="1" x14ac:dyDescent="0.35">
      <c r="A7" s="3" t="s">
        <v>14</v>
      </c>
      <c r="B7" s="16">
        <v>25</v>
      </c>
      <c r="C7" s="17" t="s">
        <v>15</v>
      </c>
      <c r="D7" s="18">
        <v>12000</v>
      </c>
      <c r="E7" s="19" t="s">
        <v>16</v>
      </c>
      <c r="F7" s="18" t="s">
        <v>141</v>
      </c>
      <c r="G7" s="2" t="s">
        <v>17</v>
      </c>
      <c r="H7" s="20"/>
    </row>
    <row r="8" spans="1:11" ht="14.25" customHeight="1" thickBot="1" x14ac:dyDescent="0.35">
      <c r="A8" s="21" t="s">
        <v>18</v>
      </c>
      <c r="B8" s="22">
        <v>20</v>
      </c>
      <c r="C8" s="17" t="s">
        <v>19</v>
      </c>
      <c r="D8" s="23" t="s">
        <v>156</v>
      </c>
      <c r="E8" s="17" t="s">
        <v>20</v>
      </c>
      <c r="F8" s="23">
        <v>12000</v>
      </c>
      <c r="G8" s="24"/>
      <c r="H8" s="20"/>
      <c r="J8" s="25"/>
    </row>
    <row r="9" spans="1:11" ht="43.8" thickBot="1" x14ac:dyDescent="0.35">
      <c r="A9" s="17" t="s">
        <v>21</v>
      </c>
      <c r="B9" s="26" t="b">
        <v>0</v>
      </c>
      <c r="C9" s="27" t="s">
        <v>22</v>
      </c>
      <c r="D9" s="28" t="s">
        <v>23</v>
      </c>
      <c r="E9" s="17" t="s">
        <v>24</v>
      </c>
      <c r="F9" s="29" t="s">
        <v>156</v>
      </c>
      <c r="G9" s="24"/>
      <c r="H9" s="20"/>
      <c r="J9" s="367" t="s">
        <v>25</v>
      </c>
      <c r="K9" s="368"/>
    </row>
    <row r="10" spans="1:11" ht="21" customHeight="1" x14ac:dyDescent="0.3">
      <c r="A10" s="21" t="s">
        <v>26</v>
      </c>
      <c r="B10" s="26" t="b">
        <v>0</v>
      </c>
      <c r="C10" s="30" t="s">
        <v>27</v>
      </c>
      <c r="D10" s="31" t="s">
        <v>28</v>
      </c>
      <c r="E10" s="17" t="s">
        <v>29</v>
      </c>
      <c r="F10" s="29" t="s">
        <v>157</v>
      </c>
      <c r="G10" s="24"/>
      <c r="H10" s="20"/>
      <c r="J10" s="32"/>
      <c r="K10" s="33" t="s">
        <v>30</v>
      </c>
    </row>
    <row r="11" spans="1:11" ht="15" customHeight="1" thickBot="1" x14ac:dyDescent="0.35">
      <c r="A11" s="21" t="s">
        <v>31</v>
      </c>
      <c r="B11" s="26" t="b">
        <v>0</v>
      </c>
      <c r="C11" s="34" t="s">
        <v>32</v>
      </c>
      <c r="D11" s="35" t="s">
        <v>33</v>
      </c>
      <c r="E11" s="17" t="s">
        <v>34</v>
      </c>
      <c r="F11" s="29" t="s">
        <v>158</v>
      </c>
      <c r="G11" s="24"/>
      <c r="H11" s="20"/>
      <c r="J11" s="36"/>
      <c r="K11" s="37" t="s">
        <v>35</v>
      </c>
    </row>
    <row r="12" spans="1:11" ht="28.5" customHeight="1" x14ac:dyDescent="0.3">
      <c r="A12" s="38" t="s">
        <v>36</v>
      </c>
      <c r="B12" s="26" t="b">
        <v>0</v>
      </c>
      <c r="C12" s="39"/>
      <c r="D12" s="39"/>
      <c r="E12" s="17" t="s">
        <v>37</v>
      </c>
      <c r="F12" s="29" t="s">
        <v>156</v>
      </c>
      <c r="G12" s="24"/>
      <c r="H12" s="20"/>
      <c r="J12" s="40"/>
      <c r="K12" s="37" t="s">
        <v>38</v>
      </c>
    </row>
    <row r="13" spans="1:11" ht="14.25" customHeight="1" thickBot="1" x14ac:dyDescent="0.35">
      <c r="A13" s="21" t="s">
        <v>39</v>
      </c>
      <c r="B13" s="41"/>
      <c r="C13" s="39"/>
      <c r="D13" s="39"/>
      <c r="E13" s="17" t="s">
        <v>40</v>
      </c>
      <c r="F13" s="29" t="s">
        <v>157</v>
      </c>
      <c r="G13" s="24"/>
      <c r="H13" s="20"/>
      <c r="J13" s="42"/>
      <c r="K13" s="43" t="s">
        <v>41</v>
      </c>
    </row>
    <row r="14" spans="1:11" ht="14.25" customHeight="1" thickBot="1" x14ac:dyDescent="0.35">
      <c r="A14" s="21" t="s">
        <v>42</v>
      </c>
      <c r="B14" s="44" t="s">
        <v>145</v>
      </c>
      <c r="C14" s="45" t="s">
        <v>43</v>
      </c>
      <c r="D14" s="39"/>
      <c r="E14" s="17" t="s">
        <v>44</v>
      </c>
      <c r="F14" s="29" t="s">
        <v>146</v>
      </c>
      <c r="G14" s="24"/>
      <c r="H14" s="20"/>
    </row>
    <row r="15" spans="1:11" ht="14.25" customHeight="1" thickBot="1" x14ac:dyDescent="0.35">
      <c r="A15" s="46"/>
      <c r="B15" s="47"/>
      <c r="C15" s="39"/>
      <c r="D15" s="39"/>
      <c r="E15" s="48" t="s">
        <v>45</v>
      </c>
      <c r="F15" s="49" t="s">
        <v>147</v>
      </c>
      <c r="G15" s="2" t="s">
        <v>46</v>
      </c>
      <c r="H15" s="20"/>
    </row>
    <row r="16" spans="1:11" ht="15" customHeight="1" x14ac:dyDescent="0.3">
      <c r="A16" s="3" t="s">
        <v>47</v>
      </c>
      <c r="B16" s="50" t="b">
        <v>0</v>
      </c>
      <c r="C16" s="51" t="s">
        <v>48</v>
      </c>
      <c r="D16" s="52"/>
      <c r="E16" s="53"/>
      <c r="F16" s="54"/>
      <c r="G16" s="55"/>
      <c r="H16" s="14"/>
    </row>
    <row r="17" spans="1:8" ht="15" customHeight="1" x14ac:dyDescent="0.3">
      <c r="A17" s="21" t="s">
        <v>49</v>
      </c>
      <c r="B17" s="56" t="b">
        <v>0</v>
      </c>
      <c r="C17" s="57" t="s">
        <v>50</v>
      </c>
      <c r="D17" s="39"/>
      <c r="E17" s="58"/>
      <c r="F17" s="59"/>
      <c r="G17" s="55"/>
      <c r="H17" s="14"/>
    </row>
    <row r="18" spans="1:8" ht="15" customHeight="1" x14ac:dyDescent="0.3">
      <c r="A18" s="21" t="s">
        <v>51</v>
      </c>
      <c r="B18" s="56" t="b">
        <v>0</v>
      </c>
      <c r="C18" s="57" t="s">
        <v>50</v>
      </c>
      <c r="D18" s="39"/>
      <c r="E18" s="58"/>
      <c r="F18" s="59"/>
      <c r="G18" s="55"/>
      <c r="H18" s="14"/>
    </row>
    <row r="19" spans="1:8" ht="15" customHeight="1" x14ac:dyDescent="0.3">
      <c r="A19" s="21" t="s">
        <v>52</v>
      </c>
      <c r="B19" s="56" t="b">
        <v>0</v>
      </c>
      <c r="C19" s="57" t="s">
        <v>50</v>
      </c>
      <c r="D19" s="39"/>
      <c r="E19" s="58"/>
      <c r="F19" s="60"/>
      <c r="G19" s="55"/>
      <c r="H19" s="14"/>
    </row>
    <row r="20" spans="1:8" ht="15" customHeight="1" x14ac:dyDescent="0.3">
      <c r="A20" s="21" t="s">
        <v>53</v>
      </c>
      <c r="B20" s="56" t="b">
        <v>0</v>
      </c>
      <c r="C20" s="57" t="s">
        <v>50</v>
      </c>
      <c r="D20" s="61" t="s">
        <v>54</v>
      </c>
      <c r="E20" s="58"/>
      <c r="F20" s="60"/>
      <c r="G20" s="55"/>
      <c r="H20" s="14"/>
    </row>
    <row r="21" spans="1:8" ht="15" customHeight="1" thickBot="1" x14ac:dyDescent="0.35">
      <c r="A21" s="21" t="s">
        <v>55</v>
      </c>
      <c r="B21" s="56" t="b">
        <v>0</v>
      </c>
      <c r="C21" s="57" t="s">
        <v>56</v>
      </c>
      <c r="D21" s="39"/>
      <c r="E21" s="58"/>
      <c r="F21" s="60"/>
      <c r="G21" s="55"/>
      <c r="H21" s="14"/>
    </row>
    <row r="22" spans="1:8" ht="15" customHeight="1" thickBot="1" x14ac:dyDescent="0.35">
      <c r="A22" s="10" t="s">
        <v>57</v>
      </c>
      <c r="B22" s="62" t="b">
        <v>0</v>
      </c>
      <c r="C22" s="63" t="s">
        <v>58</v>
      </c>
      <c r="D22" s="64"/>
      <c r="E22" s="65"/>
      <c r="F22" s="66"/>
      <c r="G22" s="67" t="s">
        <v>59</v>
      </c>
      <c r="H22" s="14"/>
    </row>
    <row r="23" spans="1:8" ht="67.5" customHeight="1" thickBot="1" x14ac:dyDescent="0.35">
      <c r="A23" s="369" t="s">
        <v>60</v>
      </c>
      <c r="B23" s="370"/>
      <c r="C23" s="370"/>
      <c r="D23" s="370"/>
      <c r="E23" s="370"/>
      <c r="F23" s="371"/>
      <c r="G23" s="68"/>
      <c r="H23" s="20"/>
    </row>
    <row r="24" spans="1:8" ht="14.25" customHeight="1" x14ac:dyDescent="0.3">
      <c r="A24" s="19" t="s">
        <v>61</v>
      </c>
      <c r="B24" s="69" t="b">
        <v>0</v>
      </c>
      <c r="C24" s="70" t="s">
        <v>62</v>
      </c>
      <c r="D24" s="39"/>
      <c r="E24" s="19" t="s">
        <v>63</v>
      </c>
      <c r="F24" s="71" t="s">
        <v>438</v>
      </c>
      <c r="G24" s="24"/>
      <c r="H24" s="20"/>
    </row>
    <row r="25" spans="1:8" ht="14.25" customHeight="1" x14ac:dyDescent="0.3">
      <c r="A25" s="72"/>
      <c r="B25" s="73"/>
      <c r="C25" s="39"/>
      <c r="D25" s="39"/>
      <c r="E25" s="17" t="s">
        <v>64</v>
      </c>
      <c r="F25" s="74" t="s">
        <v>473</v>
      </c>
      <c r="G25" s="24"/>
      <c r="H25" s="20"/>
    </row>
    <row r="26" spans="1:8" ht="14.25" customHeight="1" thickBot="1" x14ac:dyDescent="0.35">
      <c r="A26" s="65"/>
      <c r="B26" s="75"/>
      <c r="C26" s="39"/>
      <c r="D26" s="39"/>
      <c r="E26" s="76" t="s">
        <v>65</v>
      </c>
      <c r="F26" s="77" t="s">
        <v>473</v>
      </c>
      <c r="G26" s="24"/>
      <c r="H26" s="20"/>
    </row>
    <row r="27" spans="1:8" ht="44.25" customHeight="1" thickBot="1" x14ac:dyDescent="0.35">
      <c r="A27" s="369" t="s">
        <v>66</v>
      </c>
      <c r="B27" s="370"/>
      <c r="C27" s="370"/>
      <c r="D27" s="370"/>
      <c r="E27" s="370"/>
      <c r="F27" s="371"/>
      <c r="G27" s="24"/>
      <c r="H27" s="20"/>
    </row>
    <row r="28" spans="1:8" ht="14.25" customHeight="1" thickBot="1" x14ac:dyDescent="0.35">
      <c r="A28" s="19" t="s">
        <v>67</v>
      </c>
      <c r="B28" s="69">
        <v>10</v>
      </c>
      <c r="C28" s="19" t="s">
        <v>68</v>
      </c>
      <c r="D28" s="69">
        <v>10</v>
      </c>
      <c r="E28" s="19" t="s">
        <v>69</v>
      </c>
      <c r="F28" s="71">
        <v>11</v>
      </c>
      <c r="G28" s="24"/>
      <c r="H28" s="20"/>
    </row>
    <row r="29" spans="1:8" ht="14.25" customHeight="1" thickBot="1" x14ac:dyDescent="0.35">
      <c r="A29" s="72" t="s">
        <v>70</v>
      </c>
      <c r="B29" s="78" t="b">
        <v>0</v>
      </c>
      <c r="C29" s="19" t="s">
        <v>16</v>
      </c>
      <c r="D29" s="71" t="s">
        <v>141</v>
      </c>
      <c r="E29" s="17" t="s">
        <v>71</v>
      </c>
      <c r="F29" s="74">
        <v>2</v>
      </c>
      <c r="G29" s="24"/>
      <c r="H29" s="20"/>
    </row>
    <row r="30" spans="1:8" ht="60" customHeight="1" x14ac:dyDescent="0.3">
      <c r="A30" s="79" t="s">
        <v>53</v>
      </c>
      <c r="B30" s="78" t="b">
        <v>0</v>
      </c>
      <c r="C30" s="45" t="s">
        <v>22</v>
      </c>
      <c r="D30" s="8" t="s">
        <v>72</v>
      </c>
      <c r="E30" s="17" t="s">
        <v>73</v>
      </c>
      <c r="F30" s="74">
        <v>0</v>
      </c>
      <c r="G30" s="24"/>
      <c r="H30" s="20"/>
    </row>
    <row r="31" spans="1:8" ht="15.75" customHeight="1" x14ac:dyDescent="0.3">
      <c r="A31" s="21" t="s">
        <v>26</v>
      </c>
      <c r="B31" s="78" t="b">
        <v>0</v>
      </c>
      <c r="C31" s="80" t="s">
        <v>22</v>
      </c>
      <c r="D31" s="81" t="s">
        <v>74</v>
      </c>
      <c r="E31" s="17" t="s">
        <v>75</v>
      </c>
      <c r="F31" s="74">
        <v>50</v>
      </c>
      <c r="G31" s="24"/>
      <c r="H31" s="20"/>
    </row>
    <row r="32" spans="1:8" ht="14.25" customHeight="1" thickBot="1" x14ac:dyDescent="0.35">
      <c r="A32" s="65" t="s">
        <v>76</v>
      </c>
      <c r="B32" s="82" t="b">
        <v>0</v>
      </c>
      <c r="C32" s="34" t="s">
        <v>27</v>
      </c>
      <c r="D32" s="83" t="s">
        <v>77</v>
      </c>
      <c r="E32" s="76" t="s">
        <v>78</v>
      </c>
      <c r="F32" s="77">
        <v>65</v>
      </c>
      <c r="G32" s="24"/>
      <c r="H32" s="20"/>
    </row>
    <row r="33" spans="1:8" ht="14.25" customHeight="1" thickBot="1" x14ac:dyDescent="0.35">
      <c r="A33" s="369" t="s">
        <v>79</v>
      </c>
      <c r="B33" s="370"/>
      <c r="C33" s="370"/>
      <c r="D33" s="370"/>
      <c r="E33" s="370"/>
      <c r="F33" s="371"/>
      <c r="G33" s="24"/>
      <c r="H33" s="20"/>
    </row>
    <row r="34" spans="1:8" ht="14.25" customHeight="1" thickBot="1" x14ac:dyDescent="0.35">
      <c r="A34" s="372" t="s">
        <v>80</v>
      </c>
      <c r="B34" s="370"/>
      <c r="C34" s="370"/>
      <c r="D34" s="370"/>
      <c r="E34" s="370"/>
      <c r="F34" s="371"/>
      <c r="G34" s="24"/>
      <c r="H34" s="20"/>
    </row>
    <row r="35" spans="1:8" ht="14.25" customHeight="1" x14ac:dyDescent="0.3">
      <c r="A35" s="84" t="s">
        <v>81</v>
      </c>
      <c r="B35" s="85">
        <v>5</v>
      </c>
      <c r="C35" s="86" t="s">
        <v>82</v>
      </c>
      <c r="D35" s="85">
        <v>20</v>
      </c>
      <c r="E35" s="87" t="s">
        <v>83</v>
      </c>
      <c r="F35" s="88">
        <v>12.5</v>
      </c>
      <c r="G35" s="24"/>
      <c r="H35" s="20"/>
    </row>
    <row r="36" spans="1:8" ht="14.25" customHeight="1" thickBot="1" x14ac:dyDescent="0.35">
      <c r="A36" s="46" t="s">
        <v>84</v>
      </c>
      <c r="B36" s="85">
        <v>4.5</v>
      </c>
      <c r="C36" s="89" t="s">
        <v>85</v>
      </c>
      <c r="D36" s="85">
        <v>5.3</v>
      </c>
      <c r="E36" s="90" t="s">
        <v>86</v>
      </c>
      <c r="F36" s="88">
        <v>7.2</v>
      </c>
      <c r="G36" s="24"/>
      <c r="H36" s="20"/>
    </row>
    <row r="37" spans="1:8" ht="15" customHeight="1" thickBot="1" x14ac:dyDescent="0.35">
      <c r="A37" s="372" t="s">
        <v>87</v>
      </c>
      <c r="B37" s="370"/>
      <c r="C37" s="370"/>
      <c r="D37" s="370"/>
      <c r="E37" s="370"/>
      <c r="F37" s="371"/>
      <c r="G37" s="24"/>
      <c r="H37" s="20"/>
    </row>
    <row r="38" spans="1:8" ht="31.5" customHeight="1" x14ac:dyDescent="0.3">
      <c r="A38" s="84" t="s">
        <v>81</v>
      </c>
      <c r="B38" s="85">
        <v>6</v>
      </c>
      <c r="C38" s="86" t="s">
        <v>88</v>
      </c>
      <c r="D38" s="85">
        <v>15</v>
      </c>
      <c r="E38" s="86" t="s">
        <v>89</v>
      </c>
      <c r="F38" s="88">
        <v>10</v>
      </c>
      <c r="G38" s="24"/>
      <c r="H38" s="20"/>
    </row>
    <row r="39" spans="1:8" ht="45" customHeight="1" x14ac:dyDescent="0.3">
      <c r="A39" s="46" t="s">
        <v>90</v>
      </c>
      <c r="B39" s="85" t="s">
        <v>91</v>
      </c>
      <c r="C39" s="89" t="s">
        <v>92</v>
      </c>
      <c r="D39" s="85">
        <v>30</v>
      </c>
      <c r="E39" s="89" t="s">
        <v>93</v>
      </c>
      <c r="F39" s="88">
        <v>100</v>
      </c>
      <c r="G39" s="24"/>
      <c r="H39" s="20"/>
    </row>
    <row r="40" spans="1:8" ht="33.75" customHeight="1" x14ac:dyDescent="0.3">
      <c r="A40" s="46" t="s">
        <v>94</v>
      </c>
      <c r="B40" s="85">
        <v>9</v>
      </c>
      <c r="C40" s="89" t="s">
        <v>95</v>
      </c>
      <c r="D40" s="85">
        <v>20</v>
      </c>
      <c r="E40" s="89" t="s">
        <v>96</v>
      </c>
      <c r="F40" s="88">
        <v>7</v>
      </c>
      <c r="G40" s="24"/>
      <c r="H40" s="20"/>
    </row>
    <row r="41" spans="1:8" ht="42" customHeight="1" thickBot="1" x14ac:dyDescent="0.35">
      <c r="A41" s="48" t="s">
        <v>97</v>
      </c>
      <c r="B41" s="85">
        <v>18</v>
      </c>
      <c r="C41" s="89" t="s">
        <v>92</v>
      </c>
      <c r="D41" s="85">
        <v>30</v>
      </c>
      <c r="E41" s="89"/>
      <c r="F41" s="88"/>
      <c r="G41" s="24"/>
      <c r="H41" s="20"/>
    </row>
    <row r="42" spans="1:8" ht="22.5" customHeight="1" thickBot="1" x14ac:dyDescent="0.35">
      <c r="A42" s="372" t="s">
        <v>98</v>
      </c>
      <c r="B42" s="370"/>
      <c r="C42" s="370"/>
      <c r="D42" s="370"/>
      <c r="E42" s="370"/>
      <c r="F42" s="371"/>
      <c r="G42" s="24"/>
      <c r="H42" s="20"/>
    </row>
    <row r="43" spans="1:8" ht="14.25" customHeight="1" x14ac:dyDescent="0.3">
      <c r="A43" s="48" t="s">
        <v>99</v>
      </c>
      <c r="B43" s="85">
        <v>1.2</v>
      </c>
      <c r="C43" s="89" t="s">
        <v>100</v>
      </c>
      <c r="D43" s="85">
        <v>0.8</v>
      </c>
      <c r="E43" s="89" t="s">
        <v>101</v>
      </c>
      <c r="F43" s="88">
        <v>1.2</v>
      </c>
      <c r="G43" s="24"/>
      <c r="H43" s="20"/>
    </row>
    <row r="44" spans="1:8" ht="14.25" customHeight="1" thickBot="1" x14ac:dyDescent="0.35">
      <c r="A44" s="48" t="s">
        <v>102</v>
      </c>
      <c r="B44" s="85">
        <v>25</v>
      </c>
      <c r="C44" s="89" t="s">
        <v>103</v>
      </c>
      <c r="D44" s="85">
        <v>2</v>
      </c>
      <c r="E44" s="89" t="s">
        <v>104</v>
      </c>
      <c r="F44" s="88">
        <v>9</v>
      </c>
      <c r="G44" s="24"/>
      <c r="H44" s="20"/>
    </row>
    <row r="45" spans="1:8" ht="14.25" customHeight="1" thickBot="1" x14ac:dyDescent="0.35">
      <c r="A45" s="369" t="s">
        <v>105</v>
      </c>
      <c r="B45" s="370"/>
      <c r="C45" s="370"/>
      <c r="D45" s="370"/>
      <c r="E45" s="370"/>
      <c r="F45" s="371"/>
      <c r="G45" s="24"/>
      <c r="H45" s="20"/>
    </row>
    <row r="46" spans="1:8" ht="14.25" customHeight="1" thickBot="1" x14ac:dyDescent="0.35">
      <c r="A46" s="19" t="s">
        <v>106</v>
      </c>
      <c r="B46" s="69" t="b">
        <v>0</v>
      </c>
      <c r="C46" s="45" t="s">
        <v>107</v>
      </c>
      <c r="D46" s="8" t="s">
        <v>108</v>
      </c>
      <c r="E46" s="19" t="s">
        <v>109</v>
      </c>
      <c r="F46" s="71" t="s">
        <v>159</v>
      </c>
      <c r="G46" s="24"/>
      <c r="H46" s="20"/>
    </row>
    <row r="47" spans="1:8" ht="29.25" customHeight="1" thickBot="1" x14ac:dyDescent="0.35">
      <c r="A47" s="58" t="s">
        <v>36</v>
      </c>
      <c r="B47" s="91" t="b">
        <v>0</v>
      </c>
      <c r="C47" s="45" t="s">
        <v>110</v>
      </c>
      <c r="D47" s="8" t="s">
        <v>111</v>
      </c>
      <c r="E47" s="48"/>
      <c r="F47" s="92"/>
      <c r="G47" s="24"/>
      <c r="H47" s="20"/>
    </row>
    <row r="48" spans="1:8" ht="65.25" customHeight="1" thickBot="1" x14ac:dyDescent="0.35">
      <c r="A48" s="369" t="s">
        <v>112</v>
      </c>
      <c r="B48" s="370"/>
      <c r="C48" s="370"/>
      <c r="D48" s="370"/>
      <c r="E48" s="370"/>
      <c r="F48" s="371"/>
      <c r="G48" s="24"/>
      <c r="H48" s="20"/>
    </row>
    <row r="49" spans="1:8" ht="14.25" customHeight="1" thickBot="1" x14ac:dyDescent="0.35">
      <c r="A49" s="93" t="s">
        <v>113</v>
      </c>
      <c r="B49" s="11">
        <v>5600</v>
      </c>
      <c r="C49" s="52"/>
      <c r="D49" s="52"/>
      <c r="E49" s="52"/>
      <c r="F49" s="52"/>
      <c r="G49" s="24"/>
      <c r="H49" s="20"/>
    </row>
    <row r="50" spans="1:8" ht="14.25" customHeight="1" x14ac:dyDescent="0.3">
      <c r="A50" s="94" t="s">
        <v>114</v>
      </c>
      <c r="B50" s="95" t="s">
        <v>115</v>
      </c>
      <c r="C50" s="95" t="s">
        <v>116</v>
      </c>
      <c r="D50" s="95" t="s">
        <v>117</v>
      </c>
      <c r="E50" s="95" t="s">
        <v>118</v>
      </c>
      <c r="F50" s="96" t="s">
        <v>119</v>
      </c>
      <c r="G50" s="24"/>
      <c r="H50" s="20"/>
    </row>
    <row r="51" spans="1:8" ht="14.25" customHeight="1" x14ac:dyDescent="0.3">
      <c r="A51" s="97" t="s">
        <v>151</v>
      </c>
      <c r="B51" s="98" t="s">
        <v>151</v>
      </c>
      <c r="C51" s="98" t="s">
        <v>151</v>
      </c>
      <c r="D51" s="98" t="s">
        <v>151</v>
      </c>
      <c r="E51" s="98" t="s">
        <v>151</v>
      </c>
      <c r="F51" s="99">
        <v>0</v>
      </c>
      <c r="G51" s="24"/>
      <c r="H51" s="20"/>
    </row>
    <row r="52" spans="1:8" ht="14.25" customHeight="1" x14ac:dyDescent="0.3">
      <c r="A52" s="100" t="s">
        <v>120</v>
      </c>
      <c r="B52" s="101" t="s">
        <v>121</v>
      </c>
      <c r="C52" s="101" t="s">
        <v>122</v>
      </c>
      <c r="D52" s="101" t="s">
        <v>123</v>
      </c>
      <c r="E52" s="101" t="s">
        <v>124</v>
      </c>
      <c r="F52" s="102" t="s">
        <v>125</v>
      </c>
      <c r="G52" s="24"/>
      <c r="H52" s="20"/>
    </row>
    <row r="53" spans="1:8" ht="120" customHeight="1" x14ac:dyDescent="0.3">
      <c r="A53" s="97">
        <v>0</v>
      </c>
      <c r="B53" s="98" t="s">
        <v>887</v>
      </c>
      <c r="C53" s="98">
        <v>1</v>
      </c>
      <c r="D53" s="98" t="s">
        <v>886</v>
      </c>
      <c r="E53" s="98" t="s">
        <v>151</v>
      </c>
      <c r="F53" s="99" t="s">
        <v>152</v>
      </c>
      <c r="G53" s="24"/>
      <c r="H53" s="20"/>
    </row>
    <row r="54" spans="1:8" ht="44.25" customHeight="1" thickBot="1" x14ac:dyDescent="0.35">
      <c r="A54" s="100" t="s">
        <v>126</v>
      </c>
      <c r="B54" s="101" t="s">
        <v>127</v>
      </c>
      <c r="C54" s="101" t="s">
        <v>128</v>
      </c>
      <c r="D54" s="103"/>
      <c r="E54" s="103"/>
      <c r="F54" s="104"/>
      <c r="G54" s="24"/>
      <c r="H54" s="20"/>
    </row>
    <row r="55" spans="1:8" ht="57" customHeight="1" thickBot="1" x14ac:dyDescent="0.35">
      <c r="A55" s="105" t="s">
        <v>150</v>
      </c>
      <c r="B55" s="106" t="s">
        <v>151</v>
      </c>
      <c r="C55" s="107" t="s">
        <v>151</v>
      </c>
      <c r="D55" s="108"/>
      <c r="E55" s="109"/>
      <c r="F55" s="109"/>
      <c r="G55" s="110"/>
      <c r="H55" s="111"/>
    </row>
    <row r="56" spans="1:8" ht="27" hidden="1" customHeight="1" thickBot="1" x14ac:dyDescent="0.35">
      <c r="A56" s="112" t="s">
        <v>129</v>
      </c>
      <c r="B56" s="45" t="s">
        <v>130</v>
      </c>
      <c r="C56" s="113"/>
      <c r="D56" s="45" t="s">
        <v>131</v>
      </c>
      <c r="E56" s="113"/>
    </row>
    <row r="57" spans="1:8" ht="22.5" hidden="1" customHeight="1" thickBot="1" x14ac:dyDescent="0.35">
      <c r="A57" s="112" t="s">
        <v>132</v>
      </c>
      <c r="B57" s="80" t="s">
        <v>133</v>
      </c>
      <c r="C57" s="114"/>
      <c r="D57" s="80" t="s">
        <v>134</v>
      </c>
      <c r="E57" s="114"/>
    </row>
    <row r="58" spans="1:8" ht="14.25" hidden="1" customHeight="1" thickBot="1" x14ac:dyDescent="0.35">
      <c r="A58" s="2" t="s">
        <v>135</v>
      </c>
      <c r="B58" s="115" t="s">
        <v>136</v>
      </c>
      <c r="C58" s="116"/>
      <c r="D58" s="115" t="s">
        <v>137</v>
      </c>
      <c r="E58" s="117"/>
    </row>
    <row r="59" spans="1:8" ht="14.25" hidden="1" customHeight="1" x14ac:dyDescent="0.3"/>
    <row r="60" spans="1:8" ht="14.25" hidden="1" customHeight="1" x14ac:dyDescent="0.3">
      <c r="B60" s="118"/>
    </row>
    <row r="61" spans="1:8" ht="14.25" hidden="1" customHeight="1" x14ac:dyDescent="0.3"/>
    <row r="62" spans="1:8" ht="14.25" hidden="1" customHeight="1" x14ac:dyDescent="0.3"/>
    <row r="63" spans="1:8" ht="14.25" hidden="1" customHeight="1" x14ac:dyDescent="0.3"/>
    <row r="64" spans="1:8" ht="14.25" hidden="1" customHeight="1" x14ac:dyDescent="0.3">
      <c r="B64" s="119"/>
    </row>
    <row r="65" spans="2:5" ht="14.25" hidden="1" customHeight="1" x14ac:dyDescent="0.3"/>
    <row r="66" spans="2:5" ht="14.25" hidden="1" customHeight="1" x14ac:dyDescent="0.3">
      <c r="D66" s="118"/>
      <c r="E66" s="118"/>
    </row>
    <row r="67" spans="2:5" ht="14.25" hidden="1" customHeight="1" x14ac:dyDescent="0.3"/>
    <row r="68" spans="2:5" ht="14.25" hidden="1" customHeight="1" x14ac:dyDescent="0.3"/>
    <row r="69" spans="2:5" ht="14.25" hidden="1" customHeight="1" x14ac:dyDescent="0.3"/>
    <row r="70" spans="2:5" ht="14.25" hidden="1" customHeight="1" x14ac:dyDescent="0.3"/>
    <row r="71" spans="2:5" ht="14.25" hidden="1" customHeight="1" x14ac:dyDescent="0.3"/>
    <row r="72" spans="2:5" ht="14.25" hidden="1" customHeight="1" x14ac:dyDescent="0.3"/>
    <row r="73" spans="2:5" ht="14.25" hidden="1" customHeight="1" x14ac:dyDescent="0.3"/>
    <row r="74" spans="2:5" ht="14.25" hidden="1" customHeight="1" x14ac:dyDescent="0.3">
      <c r="B74" s="120"/>
    </row>
    <row r="75" spans="2:5" ht="14.25" hidden="1" customHeight="1" x14ac:dyDescent="0.3"/>
    <row r="76" spans="2:5" ht="14.25" hidden="1" customHeight="1" x14ac:dyDescent="0.3"/>
    <row r="77" spans="2:5" ht="14.25" hidden="1" customHeight="1" x14ac:dyDescent="0.3"/>
    <row r="78" spans="2:5" ht="14.25" hidden="1" customHeight="1" x14ac:dyDescent="0.3"/>
    <row r="79" spans="2:5" ht="14.25" hidden="1" customHeight="1" x14ac:dyDescent="0.3"/>
    <row r="80" spans="2:5" ht="14.25" hidden="1" customHeight="1" x14ac:dyDescent="0.3"/>
    <row r="81" ht="14.25" hidden="1" customHeight="1" x14ac:dyDescent="0.3"/>
    <row r="82" ht="14.25" hidden="1" customHeight="1" x14ac:dyDescent="0.3"/>
    <row r="83" ht="14.25" hidden="1" customHeight="1" x14ac:dyDescent="0.3"/>
    <row r="84" ht="14.25" hidden="1" customHeight="1" x14ac:dyDescent="0.3"/>
    <row r="85" ht="14.25" hidden="1" customHeight="1" x14ac:dyDescent="0.3"/>
    <row r="86" ht="14.25" hidden="1" customHeight="1" x14ac:dyDescent="0.3"/>
    <row r="87" ht="14.25" hidden="1" customHeight="1" x14ac:dyDescent="0.3"/>
    <row r="88" ht="14.25" hidden="1" customHeight="1" x14ac:dyDescent="0.3"/>
    <row r="89" ht="14.25" hidden="1" customHeight="1" x14ac:dyDescent="0.3"/>
    <row r="90" ht="14.25" hidden="1" customHeight="1" x14ac:dyDescent="0.3"/>
    <row r="91" ht="14.25" hidden="1" customHeight="1" x14ac:dyDescent="0.3"/>
    <row r="92" ht="14.25" hidden="1" customHeight="1" x14ac:dyDescent="0.3"/>
    <row r="93" ht="14.25" hidden="1" customHeight="1" x14ac:dyDescent="0.3"/>
    <row r="94" ht="14.25" hidden="1" customHeight="1" x14ac:dyDescent="0.3"/>
    <row r="95" ht="14.25" hidden="1" customHeight="1" x14ac:dyDescent="0.3"/>
    <row r="96" ht="14.25" hidden="1" customHeight="1" x14ac:dyDescent="0.3"/>
    <row r="97" ht="14.25" hidden="1" customHeight="1" x14ac:dyDescent="0.3"/>
    <row r="98" ht="14.25" hidden="1" customHeight="1" x14ac:dyDescent="0.3"/>
    <row r="99" ht="14.25" hidden="1" customHeight="1" x14ac:dyDescent="0.3"/>
    <row r="100" ht="14.25" hidden="1" customHeight="1" x14ac:dyDescent="0.3"/>
    <row r="101" ht="14.25" hidden="1" customHeight="1" x14ac:dyDescent="0.3"/>
    <row r="102" ht="14.25" hidden="1" customHeight="1" x14ac:dyDescent="0.3"/>
    <row r="103" ht="14.25" hidden="1" customHeight="1" x14ac:dyDescent="0.3"/>
    <row r="104" ht="14.25" hidden="1" customHeight="1" x14ac:dyDescent="0.3"/>
    <row r="105" ht="14.25" hidden="1" customHeight="1" x14ac:dyDescent="0.3"/>
    <row r="106" ht="14.25" hidden="1" customHeight="1" x14ac:dyDescent="0.3"/>
    <row r="107" ht="14.25" hidden="1" customHeight="1" x14ac:dyDescent="0.3"/>
    <row r="108" ht="14.25" hidden="1" customHeight="1" x14ac:dyDescent="0.3"/>
    <row r="109" ht="14.25" hidden="1" customHeight="1" x14ac:dyDescent="0.3"/>
    <row r="110" ht="14.25" hidden="1" customHeight="1" x14ac:dyDescent="0.3"/>
    <row r="111" ht="14.25" hidden="1" customHeight="1" x14ac:dyDescent="0.3"/>
    <row r="112" ht="14.25" hidden="1" customHeight="1" x14ac:dyDescent="0.3"/>
    <row r="113" ht="14.25" hidden="1" customHeight="1" x14ac:dyDescent="0.3"/>
    <row r="114" ht="14.25" hidden="1" customHeight="1" x14ac:dyDescent="0.3"/>
    <row r="115" ht="14.25" hidden="1" customHeight="1" x14ac:dyDescent="0.3"/>
    <row r="116" ht="14.25" hidden="1" customHeight="1" x14ac:dyDescent="0.3"/>
    <row r="117" ht="14.25" hidden="1" customHeight="1" x14ac:dyDescent="0.3"/>
    <row r="118" ht="14.25" hidden="1" customHeight="1" x14ac:dyDescent="0.3"/>
    <row r="119" ht="14.25" hidden="1" customHeight="1" x14ac:dyDescent="0.3"/>
    <row r="120" ht="14.25" hidden="1" customHeight="1" x14ac:dyDescent="0.3"/>
    <row r="121" ht="14.25" hidden="1" customHeight="1" x14ac:dyDescent="0.3"/>
    <row r="122" ht="14.25" hidden="1" customHeight="1" x14ac:dyDescent="0.3"/>
    <row r="123" ht="14.25" hidden="1" customHeight="1" x14ac:dyDescent="0.3"/>
    <row r="124" ht="14.25" hidden="1" customHeight="1" x14ac:dyDescent="0.3"/>
    <row r="125" ht="14.25" hidden="1" customHeight="1" x14ac:dyDescent="0.3"/>
    <row r="126" ht="14.25" hidden="1" customHeight="1" x14ac:dyDescent="0.3"/>
    <row r="127" ht="14.25" hidden="1" customHeight="1" x14ac:dyDescent="0.3"/>
    <row r="128" ht="14.25" hidden="1" customHeight="1" x14ac:dyDescent="0.3"/>
    <row r="129" ht="14.25" hidden="1" customHeight="1" x14ac:dyDescent="0.3"/>
    <row r="130" ht="14.25" hidden="1" customHeight="1" x14ac:dyDescent="0.3"/>
    <row r="131" ht="14.25" hidden="1" customHeight="1" x14ac:dyDescent="0.3"/>
    <row r="132" ht="14.25" hidden="1" customHeight="1" x14ac:dyDescent="0.3"/>
    <row r="133" ht="14.25" hidden="1" customHeight="1" x14ac:dyDescent="0.3"/>
    <row r="134" ht="14.25" hidden="1" customHeight="1" x14ac:dyDescent="0.3"/>
    <row r="135" ht="14.25" hidden="1" customHeight="1" x14ac:dyDescent="0.3"/>
    <row r="136" ht="14.25" hidden="1" customHeight="1" x14ac:dyDescent="0.3"/>
    <row r="137" ht="14.25" hidden="1" customHeight="1" x14ac:dyDescent="0.3"/>
    <row r="138" ht="14.25" hidden="1" customHeight="1" x14ac:dyDescent="0.3"/>
    <row r="139" ht="14.25" hidden="1" customHeight="1" x14ac:dyDescent="0.3"/>
    <row r="140" ht="14.25" hidden="1" customHeight="1" x14ac:dyDescent="0.3"/>
    <row r="141" ht="14.25" hidden="1" customHeight="1" x14ac:dyDescent="0.3"/>
    <row r="142" ht="14.25" hidden="1" customHeight="1" x14ac:dyDescent="0.3"/>
    <row r="143" ht="14.25" hidden="1" customHeight="1" x14ac:dyDescent="0.3"/>
    <row r="144" ht="14.25" hidden="1" customHeight="1" x14ac:dyDescent="0.3"/>
    <row r="145" ht="14.25" hidden="1" customHeight="1" x14ac:dyDescent="0.3"/>
    <row r="146" ht="14.25" hidden="1" customHeight="1" x14ac:dyDescent="0.3"/>
    <row r="147" ht="14.25" hidden="1" customHeight="1" x14ac:dyDescent="0.3"/>
    <row r="148" ht="14.25" hidden="1" customHeight="1" x14ac:dyDescent="0.3"/>
    <row r="149" ht="14.25" hidden="1" customHeight="1" x14ac:dyDescent="0.3"/>
    <row r="150" ht="14.25" hidden="1" customHeight="1" x14ac:dyDescent="0.3"/>
    <row r="151" ht="14.25" hidden="1" customHeight="1" x14ac:dyDescent="0.3"/>
    <row r="152" ht="14.25" hidden="1" customHeight="1" x14ac:dyDescent="0.3"/>
    <row r="153" ht="14.25" hidden="1" customHeight="1" x14ac:dyDescent="0.3"/>
    <row r="154" ht="14.25" hidden="1" customHeight="1" x14ac:dyDescent="0.3"/>
    <row r="155" ht="14.25" hidden="1" customHeight="1" x14ac:dyDescent="0.3"/>
    <row r="156" ht="14.25" hidden="1" customHeight="1" x14ac:dyDescent="0.3"/>
    <row r="157" ht="14.25" hidden="1" customHeight="1" x14ac:dyDescent="0.3"/>
    <row r="158" ht="14.25" hidden="1" customHeight="1" x14ac:dyDescent="0.3"/>
    <row r="159" ht="14.25" hidden="1" customHeight="1" x14ac:dyDescent="0.3"/>
    <row r="160" ht="14.25" hidden="1" customHeight="1" x14ac:dyDescent="0.3"/>
    <row r="161" ht="14.25" hidden="1" customHeight="1" x14ac:dyDescent="0.3"/>
    <row r="162" ht="14.25" hidden="1" customHeight="1" x14ac:dyDescent="0.3"/>
    <row r="163" ht="14.25" hidden="1" customHeight="1" x14ac:dyDescent="0.3"/>
    <row r="164" ht="14.25" hidden="1" customHeight="1" x14ac:dyDescent="0.3"/>
    <row r="165" ht="14.25" hidden="1" customHeight="1" x14ac:dyDescent="0.3"/>
    <row r="166" ht="14.25" hidden="1" customHeight="1" x14ac:dyDescent="0.3"/>
    <row r="167" ht="14.25" hidden="1" customHeight="1" x14ac:dyDescent="0.3"/>
    <row r="168" ht="14.25" hidden="1" customHeight="1" x14ac:dyDescent="0.3"/>
    <row r="169" ht="14.25" hidden="1" customHeight="1" x14ac:dyDescent="0.3"/>
    <row r="170" ht="14.25" hidden="1" customHeight="1" x14ac:dyDescent="0.3"/>
    <row r="171" ht="14.25" hidden="1" customHeight="1" x14ac:dyDescent="0.3"/>
    <row r="172" ht="14.25" hidden="1" customHeight="1" x14ac:dyDescent="0.3"/>
    <row r="173" ht="14.25" hidden="1" customHeight="1" x14ac:dyDescent="0.3"/>
    <row r="174" ht="14.25" hidden="1" customHeight="1" x14ac:dyDescent="0.3"/>
    <row r="175" ht="14.25" hidden="1" customHeight="1" x14ac:dyDescent="0.3"/>
    <row r="176" ht="14.25" hidden="1" customHeight="1" x14ac:dyDescent="0.3"/>
    <row r="177" ht="14.25" hidden="1" customHeight="1" x14ac:dyDescent="0.3"/>
    <row r="178" ht="14.25" hidden="1" customHeight="1" x14ac:dyDescent="0.3"/>
    <row r="179" ht="14.25" hidden="1" customHeight="1" x14ac:dyDescent="0.3"/>
    <row r="180" ht="14.25" hidden="1" customHeight="1" x14ac:dyDescent="0.3"/>
    <row r="181" ht="14.25" hidden="1" customHeight="1" x14ac:dyDescent="0.3"/>
    <row r="182" ht="14.25" hidden="1" customHeight="1" x14ac:dyDescent="0.3"/>
    <row r="183" ht="14.25" hidden="1" customHeight="1" x14ac:dyDescent="0.3"/>
    <row r="184" ht="14.25" hidden="1" customHeight="1" x14ac:dyDescent="0.3"/>
    <row r="185" ht="14.25" hidden="1" customHeight="1" x14ac:dyDescent="0.3"/>
    <row r="186" ht="14.25" hidden="1" customHeight="1" x14ac:dyDescent="0.3"/>
    <row r="187" ht="14.25" hidden="1" customHeight="1" x14ac:dyDescent="0.3"/>
    <row r="188" ht="14.25" hidden="1" customHeight="1" x14ac:dyDescent="0.3"/>
    <row r="189" ht="14.25" hidden="1" customHeight="1" x14ac:dyDescent="0.3"/>
    <row r="190" ht="14.25" hidden="1" customHeight="1" x14ac:dyDescent="0.3"/>
    <row r="191" ht="14.25" hidden="1" customHeight="1" x14ac:dyDescent="0.3"/>
    <row r="192" ht="14.25" hidden="1" customHeight="1" x14ac:dyDescent="0.3"/>
    <row r="193" ht="14.25" hidden="1" customHeight="1" x14ac:dyDescent="0.3"/>
    <row r="194" ht="14.25" hidden="1" customHeight="1" x14ac:dyDescent="0.3"/>
    <row r="195" ht="14.25" hidden="1" customHeight="1" x14ac:dyDescent="0.3"/>
    <row r="196" ht="14.25" hidden="1" customHeight="1" x14ac:dyDescent="0.3"/>
    <row r="197" ht="14.25" hidden="1" customHeight="1" x14ac:dyDescent="0.3"/>
    <row r="198" ht="14.25" hidden="1" customHeight="1" x14ac:dyDescent="0.3"/>
    <row r="199" ht="14.25" hidden="1" customHeight="1" x14ac:dyDescent="0.3"/>
    <row r="200" ht="14.25" hidden="1" customHeight="1" x14ac:dyDescent="0.3"/>
    <row r="201" ht="14.25" hidden="1" customHeight="1" x14ac:dyDescent="0.3"/>
    <row r="202" ht="14.25" hidden="1" customHeight="1" x14ac:dyDescent="0.3"/>
    <row r="203" ht="14.25" hidden="1" customHeight="1" x14ac:dyDescent="0.3"/>
    <row r="204" ht="14.25" hidden="1" customHeight="1" x14ac:dyDescent="0.3"/>
    <row r="205" ht="14.25" hidden="1" customHeight="1" x14ac:dyDescent="0.3"/>
    <row r="206" ht="14.25" hidden="1" customHeight="1" x14ac:dyDescent="0.3"/>
    <row r="207" ht="14.25" hidden="1" customHeight="1" x14ac:dyDescent="0.3"/>
    <row r="208" ht="14.25" hidden="1" customHeight="1" x14ac:dyDescent="0.3"/>
    <row r="209" ht="14.25" hidden="1" customHeight="1" x14ac:dyDescent="0.3"/>
    <row r="210" ht="14.25" hidden="1" customHeight="1" x14ac:dyDescent="0.3"/>
    <row r="211" ht="14.25" hidden="1" customHeight="1" x14ac:dyDescent="0.3"/>
    <row r="212" ht="14.25" hidden="1" customHeight="1" x14ac:dyDescent="0.3"/>
    <row r="213" ht="14.25" hidden="1" customHeight="1" x14ac:dyDescent="0.3"/>
    <row r="214" ht="14.25" hidden="1" customHeight="1" x14ac:dyDescent="0.3"/>
    <row r="215" ht="14.25" hidden="1" customHeight="1" x14ac:dyDescent="0.3"/>
    <row r="216" ht="14.25" hidden="1" customHeight="1" x14ac:dyDescent="0.3"/>
    <row r="217" ht="14.25" hidden="1" customHeight="1" x14ac:dyDescent="0.3"/>
    <row r="218" ht="14.25" hidden="1" customHeight="1" x14ac:dyDescent="0.3"/>
    <row r="219" ht="14.25" hidden="1" customHeight="1" x14ac:dyDescent="0.3"/>
    <row r="220" ht="14.25" hidden="1" customHeight="1" x14ac:dyDescent="0.3"/>
    <row r="221" ht="14.25" hidden="1" customHeight="1" x14ac:dyDescent="0.3"/>
    <row r="222" ht="14.25" hidden="1" customHeight="1" x14ac:dyDescent="0.3"/>
    <row r="223" ht="14.25" hidden="1" customHeight="1" x14ac:dyDescent="0.3"/>
    <row r="224" ht="14.25" hidden="1" customHeight="1" x14ac:dyDescent="0.3"/>
    <row r="225" ht="14.25" hidden="1" customHeight="1" x14ac:dyDescent="0.3"/>
    <row r="226" ht="14.25" hidden="1" customHeight="1" x14ac:dyDescent="0.3"/>
    <row r="227" ht="14.25" hidden="1" customHeight="1" x14ac:dyDescent="0.3"/>
    <row r="228" ht="14.25" hidden="1" customHeight="1" x14ac:dyDescent="0.3"/>
    <row r="229" ht="14.25" hidden="1" customHeight="1" x14ac:dyDescent="0.3"/>
    <row r="230" ht="14.25" hidden="1" customHeight="1" x14ac:dyDescent="0.3"/>
    <row r="231" ht="14.25" hidden="1" customHeight="1" x14ac:dyDescent="0.3"/>
    <row r="232" ht="14.25" hidden="1" customHeight="1" x14ac:dyDescent="0.3"/>
    <row r="233" ht="14.25" hidden="1" customHeight="1" x14ac:dyDescent="0.3"/>
    <row r="234" ht="14.25" hidden="1" customHeight="1" x14ac:dyDescent="0.3"/>
    <row r="235" ht="14.25" hidden="1" customHeight="1" x14ac:dyDescent="0.3"/>
    <row r="236" ht="14.25" hidden="1" customHeight="1" x14ac:dyDescent="0.3"/>
    <row r="237" ht="14.25" hidden="1" customHeight="1" x14ac:dyDescent="0.3"/>
    <row r="238" ht="14.25" hidden="1" customHeight="1" x14ac:dyDescent="0.3"/>
    <row r="239" ht="14.25" hidden="1" customHeight="1" x14ac:dyDescent="0.3"/>
    <row r="240" ht="14.25" hidden="1" customHeight="1" x14ac:dyDescent="0.3"/>
    <row r="241" ht="14.25" hidden="1" customHeight="1" x14ac:dyDescent="0.3"/>
    <row r="242" ht="14.25" hidden="1" customHeight="1" x14ac:dyDescent="0.3"/>
    <row r="243" ht="14.25" hidden="1" customHeight="1" x14ac:dyDescent="0.3"/>
    <row r="244" ht="14.25" hidden="1" customHeight="1" x14ac:dyDescent="0.3"/>
    <row r="245" ht="14.25" hidden="1" customHeight="1" x14ac:dyDescent="0.3"/>
    <row r="246" ht="14.25" hidden="1" customHeight="1" x14ac:dyDescent="0.3"/>
    <row r="247" ht="14.25" hidden="1" customHeight="1" x14ac:dyDescent="0.3"/>
    <row r="248" ht="14.25" hidden="1" customHeight="1" x14ac:dyDescent="0.3"/>
    <row r="249" ht="14.25" hidden="1" customHeight="1" x14ac:dyDescent="0.3"/>
    <row r="250" ht="14.25" hidden="1" customHeight="1" x14ac:dyDescent="0.3"/>
    <row r="251" ht="14.25" hidden="1" customHeight="1" x14ac:dyDescent="0.3"/>
    <row r="252" ht="14.25" hidden="1" customHeight="1" x14ac:dyDescent="0.3"/>
    <row r="253" ht="14.25" hidden="1" customHeight="1" x14ac:dyDescent="0.3"/>
    <row r="254" ht="14.25" hidden="1" customHeight="1" x14ac:dyDescent="0.3"/>
    <row r="255" ht="14.25" hidden="1" customHeight="1" x14ac:dyDescent="0.3"/>
    <row r="256" ht="14.25" hidden="1" customHeight="1" x14ac:dyDescent="0.3"/>
    <row r="257" ht="14.25" hidden="1" customHeight="1" x14ac:dyDescent="0.3"/>
    <row r="258" ht="14.25" hidden="1" customHeight="1" x14ac:dyDescent="0.3"/>
    <row r="259" ht="15.75" hidden="1" customHeight="1" x14ac:dyDescent="0.3"/>
    <row r="260" ht="15.75" hidden="1" customHeight="1" x14ac:dyDescent="0.3"/>
    <row r="261" ht="15.75" hidden="1" customHeight="1" x14ac:dyDescent="0.3"/>
    <row r="262" ht="15.75" hidden="1" customHeight="1" x14ac:dyDescent="0.3"/>
    <row r="263" ht="15.75" hidden="1" customHeight="1" x14ac:dyDescent="0.3"/>
    <row r="264" ht="15.75" hidden="1" customHeight="1" x14ac:dyDescent="0.3"/>
    <row r="265" ht="15.75" hidden="1" customHeight="1" x14ac:dyDescent="0.3"/>
    <row r="266" ht="15.75" hidden="1" customHeight="1" x14ac:dyDescent="0.3"/>
    <row r="267" ht="15.75" hidden="1" customHeight="1" x14ac:dyDescent="0.3"/>
    <row r="268" ht="15.75" hidden="1" customHeight="1" x14ac:dyDescent="0.3"/>
    <row r="269" ht="15.75" hidden="1" customHeight="1" x14ac:dyDescent="0.3"/>
    <row r="270" ht="15.75" hidden="1" customHeight="1" x14ac:dyDescent="0.3"/>
    <row r="271" ht="15.75" hidden="1" customHeight="1" x14ac:dyDescent="0.3"/>
    <row r="272" ht="15.75" hidden="1" customHeight="1" x14ac:dyDescent="0.3"/>
    <row r="273" ht="15.75" hidden="1" customHeight="1" x14ac:dyDescent="0.3"/>
    <row r="274" ht="15.75" hidden="1" customHeight="1" x14ac:dyDescent="0.3"/>
    <row r="275" ht="15.75" hidden="1" customHeight="1" x14ac:dyDescent="0.3"/>
    <row r="276" ht="15.75" hidden="1" customHeight="1" x14ac:dyDescent="0.3"/>
    <row r="277" ht="15.75" hidden="1" customHeight="1" x14ac:dyDescent="0.3"/>
    <row r="278" ht="15.75" hidden="1" customHeight="1" x14ac:dyDescent="0.3"/>
    <row r="279" ht="15.75" hidden="1" customHeight="1" x14ac:dyDescent="0.3"/>
    <row r="280" ht="15.75" hidden="1" customHeight="1" x14ac:dyDescent="0.3"/>
    <row r="281" ht="15.75" hidden="1" customHeight="1" x14ac:dyDescent="0.3"/>
    <row r="282" ht="15.75" hidden="1" customHeight="1" x14ac:dyDescent="0.3"/>
    <row r="283" ht="15.75" hidden="1" customHeight="1" x14ac:dyDescent="0.3"/>
    <row r="284" ht="15.75" hidden="1" customHeight="1" x14ac:dyDescent="0.3"/>
    <row r="285" ht="15.75" hidden="1" customHeight="1" x14ac:dyDescent="0.3"/>
    <row r="286" ht="15.75" hidden="1" customHeight="1" x14ac:dyDescent="0.3"/>
    <row r="287" ht="15.75" hidden="1" customHeight="1" x14ac:dyDescent="0.3"/>
    <row r="288" ht="15.75" hidden="1" customHeight="1" x14ac:dyDescent="0.3"/>
    <row r="289" ht="15.75" hidden="1" customHeight="1" x14ac:dyDescent="0.3"/>
    <row r="290" ht="15.75" hidden="1" customHeight="1" x14ac:dyDescent="0.3"/>
    <row r="291" ht="15.75" hidden="1" customHeight="1" x14ac:dyDescent="0.3"/>
    <row r="292" ht="15.75" hidden="1" customHeight="1" x14ac:dyDescent="0.3"/>
    <row r="293" ht="15.75" hidden="1" customHeight="1" x14ac:dyDescent="0.3"/>
    <row r="294" ht="15.75" hidden="1" customHeight="1" x14ac:dyDescent="0.3"/>
    <row r="295" ht="15.75" hidden="1" customHeight="1" x14ac:dyDescent="0.3"/>
    <row r="296" ht="15.75" hidden="1" customHeight="1" x14ac:dyDescent="0.3"/>
    <row r="297" ht="15.75" hidden="1" customHeight="1" x14ac:dyDescent="0.3"/>
    <row r="298" ht="15.75" hidden="1" customHeight="1" x14ac:dyDescent="0.3"/>
    <row r="299" ht="15.75" hidden="1" customHeight="1" x14ac:dyDescent="0.3"/>
    <row r="300" ht="15.75" hidden="1" customHeight="1" x14ac:dyDescent="0.3"/>
    <row r="301" ht="15.75" hidden="1" customHeight="1" x14ac:dyDescent="0.3"/>
    <row r="302" ht="15.75" hidden="1" customHeight="1" x14ac:dyDescent="0.3"/>
    <row r="303" ht="15.75" hidden="1" customHeight="1" x14ac:dyDescent="0.3"/>
    <row r="304" ht="15.75" hidden="1" customHeight="1" x14ac:dyDescent="0.3"/>
    <row r="305" ht="15.75" hidden="1" customHeight="1" x14ac:dyDescent="0.3"/>
    <row r="306" ht="15.75" hidden="1" customHeight="1" x14ac:dyDescent="0.3"/>
    <row r="307" ht="15.75" hidden="1" customHeight="1" x14ac:dyDescent="0.3"/>
    <row r="308" ht="15.75" hidden="1" customHeight="1" x14ac:dyDescent="0.3"/>
    <row r="309" ht="15.75" hidden="1" customHeight="1" x14ac:dyDescent="0.3"/>
    <row r="310" ht="15.75" hidden="1" customHeight="1" x14ac:dyDescent="0.3"/>
    <row r="311" ht="15.75" hidden="1" customHeight="1" x14ac:dyDescent="0.3"/>
    <row r="312" ht="15.75" hidden="1" customHeight="1" x14ac:dyDescent="0.3"/>
    <row r="313" ht="15.75" hidden="1" customHeight="1" x14ac:dyDescent="0.3"/>
    <row r="314" ht="15.75" hidden="1" customHeight="1" x14ac:dyDescent="0.3"/>
    <row r="315" ht="15.75" hidden="1" customHeight="1" x14ac:dyDescent="0.3"/>
    <row r="316" ht="15.75" hidden="1" customHeight="1" x14ac:dyDescent="0.3"/>
    <row r="317" ht="15.75" hidden="1" customHeight="1" x14ac:dyDescent="0.3"/>
    <row r="318" ht="15.75" hidden="1" customHeight="1" x14ac:dyDescent="0.3"/>
    <row r="319" ht="15.75" hidden="1" customHeight="1" x14ac:dyDescent="0.3"/>
    <row r="320" ht="15.75" hidden="1" customHeight="1" x14ac:dyDescent="0.3"/>
    <row r="321" ht="15.75" hidden="1" customHeight="1" x14ac:dyDescent="0.3"/>
    <row r="322" ht="15.75" hidden="1" customHeight="1" x14ac:dyDescent="0.3"/>
    <row r="323" ht="15.75" hidden="1" customHeight="1" x14ac:dyDescent="0.3"/>
    <row r="324" ht="15.75" hidden="1" customHeight="1" x14ac:dyDescent="0.3"/>
    <row r="325" ht="15.75" hidden="1" customHeight="1" x14ac:dyDescent="0.3"/>
    <row r="326" ht="15.75" hidden="1" customHeight="1" x14ac:dyDescent="0.3"/>
    <row r="327" ht="15.75" hidden="1" customHeight="1" x14ac:dyDescent="0.3"/>
    <row r="328" ht="15.75" hidden="1" customHeight="1" x14ac:dyDescent="0.3"/>
    <row r="329" ht="15.75" hidden="1" customHeight="1" x14ac:dyDescent="0.3"/>
    <row r="330" ht="15.75" hidden="1" customHeight="1" x14ac:dyDescent="0.3"/>
    <row r="331" ht="15.75" hidden="1" customHeight="1" x14ac:dyDescent="0.3"/>
    <row r="332" ht="15.75" hidden="1" customHeight="1" x14ac:dyDescent="0.3"/>
    <row r="333" ht="15.75" hidden="1" customHeight="1" x14ac:dyDescent="0.3"/>
    <row r="334" ht="15.75" hidden="1" customHeight="1" x14ac:dyDescent="0.3"/>
    <row r="335" ht="15.75" hidden="1" customHeight="1" x14ac:dyDescent="0.3"/>
    <row r="336" ht="15.75" hidden="1" customHeight="1" x14ac:dyDescent="0.3"/>
    <row r="337" ht="15.75" hidden="1" customHeight="1" x14ac:dyDescent="0.3"/>
    <row r="338" ht="15.75" hidden="1" customHeight="1" x14ac:dyDescent="0.3"/>
    <row r="339" ht="15.75" hidden="1" customHeight="1" x14ac:dyDescent="0.3"/>
    <row r="340" ht="15.75" hidden="1" customHeight="1" x14ac:dyDescent="0.3"/>
    <row r="341" ht="15.75" hidden="1" customHeight="1" x14ac:dyDescent="0.3"/>
    <row r="342" ht="15.75" hidden="1" customHeight="1" x14ac:dyDescent="0.3"/>
    <row r="343" ht="15.75" hidden="1" customHeight="1" x14ac:dyDescent="0.3"/>
    <row r="344" ht="15.75" hidden="1" customHeight="1" x14ac:dyDescent="0.3"/>
    <row r="345" ht="15.75" hidden="1" customHeight="1" x14ac:dyDescent="0.3"/>
    <row r="346" ht="15.75" hidden="1" customHeight="1" x14ac:dyDescent="0.3"/>
    <row r="347" ht="15.75" hidden="1" customHeight="1" x14ac:dyDescent="0.3"/>
    <row r="348" ht="15.75" hidden="1" customHeight="1" x14ac:dyDescent="0.3"/>
    <row r="349" ht="15.75" hidden="1" customHeight="1" x14ac:dyDescent="0.3"/>
    <row r="350" ht="15.75" hidden="1" customHeight="1" x14ac:dyDescent="0.3"/>
    <row r="351" ht="15.75" hidden="1" customHeight="1" x14ac:dyDescent="0.3"/>
    <row r="352" ht="15.75" hidden="1" customHeight="1" x14ac:dyDescent="0.3"/>
    <row r="353" ht="15.75" hidden="1" customHeight="1" x14ac:dyDescent="0.3"/>
    <row r="354" ht="15.75" hidden="1" customHeight="1" x14ac:dyDescent="0.3"/>
    <row r="355" ht="15.75" hidden="1" customHeight="1" x14ac:dyDescent="0.3"/>
    <row r="356" ht="15.75" hidden="1" customHeight="1" x14ac:dyDescent="0.3"/>
    <row r="357" ht="15.75" hidden="1" customHeight="1" x14ac:dyDescent="0.3"/>
    <row r="358" ht="15.75" hidden="1" customHeight="1" x14ac:dyDescent="0.3"/>
    <row r="359" ht="15.75" hidden="1" customHeight="1" x14ac:dyDescent="0.3"/>
    <row r="360" ht="15.75" hidden="1" customHeight="1" x14ac:dyDescent="0.3"/>
    <row r="361" ht="15.75" hidden="1" customHeight="1" x14ac:dyDescent="0.3"/>
    <row r="362" ht="15.75" hidden="1" customHeight="1" x14ac:dyDescent="0.3"/>
    <row r="363" ht="15.75" hidden="1" customHeight="1" x14ac:dyDescent="0.3"/>
    <row r="364" ht="15.75" hidden="1" customHeight="1" x14ac:dyDescent="0.3"/>
    <row r="365" ht="15.75" hidden="1" customHeight="1" x14ac:dyDescent="0.3"/>
    <row r="366" ht="15.75" hidden="1" customHeight="1" x14ac:dyDescent="0.3"/>
    <row r="367" ht="15.75" hidden="1" customHeight="1" x14ac:dyDescent="0.3"/>
    <row r="368" ht="15.75" hidden="1" customHeight="1" x14ac:dyDescent="0.3"/>
    <row r="369" ht="15.75" hidden="1" customHeight="1" x14ac:dyDescent="0.3"/>
    <row r="370" ht="15.75" hidden="1" customHeight="1" x14ac:dyDescent="0.3"/>
    <row r="371" ht="15.75" hidden="1" customHeight="1" x14ac:dyDescent="0.3"/>
    <row r="372" ht="15.75" hidden="1" customHeight="1" x14ac:dyDescent="0.3"/>
    <row r="373" ht="15.75" hidden="1" customHeight="1" x14ac:dyDescent="0.3"/>
    <row r="374" ht="15.75" hidden="1" customHeight="1" x14ac:dyDescent="0.3"/>
    <row r="375" ht="15.75" hidden="1" customHeight="1" x14ac:dyDescent="0.3"/>
    <row r="376" ht="15.75" hidden="1" customHeight="1" x14ac:dyDescent="0.3"/>
    <row r="377" ht="15.75" hidden="1" customHeight="1" x14ac:dyDescent="0.3"/>
    <row r="378" ht="15.75" hidden="1" customHeight="1" x14ac:dyDescent="0.3"/>
    <row r="379" ht="15.75" hidden="1" customHeight="1" x14ac:dyDescent="0.3"/>
    <row r="380" ht="15.75" hidden="1" customHeight="1" x14ac:dyDescent="0.3"/>
    <row r="381" ht="15.75" hidden="1" customHeight="1" x14ac:dyDescent="0.3"/>
    <row r="382" ht="15.75" hidden="1" customHeight="1" x14ac:dyDescent="0.3"/>
    <row r="383" ht="15.75" hidden="1" customHeight="1" x14ac:dyDescent="0.3"/>
    <row r="384" ht="15.75" hidden="1" customHeight="1" x14ac:dyDescent="0.3"/>
    <row r="385" ht="15.75" hidden="1" customHeight="1" x14ac:dyDescent="0.3"/>
    <row r="386" ht="15.75" hidden="1" customHeight="1" x14ac:dyDescent="0.3"/>
    <row r="387" ht="15.75" hidden="1" customHeight="1" x14ac:dyDescent="0.3"/>
    <row r="388" ht="15.75" hidden="1" customHeight="1" x14ac:dyDescent="0.3"/>
    <row r="389" ht="15.75" hidden="1" customHeight="1" x14ac:dyDescent="0.3"/>
    <row r="390" ht="15.75" hidden="1" customHeight="1" x14ac:dyDescent="0.3"/>
    <row r="391" ht="15.75" hidden="1" customHeight="1" x14ac:dyDescent="0.3"/>
    <row r="392" ht="15.75" hidden="1" customHeight="1" x14ac:dyDescent="0.3"/>
    <row r="393" ht="15.75" hidden="1" customHeight="1" x14ac:dyDescent="0.3"/>
    <row r="394" ht="15.75" hidden="1" customHeight="1" x14ac:dyDescent="0.3"/>
    <row r="395" ht="15.75" hidden="1" customHeight="1" x14ac:dyDescent="0.3"/>
    <row r="396" ht="15.75" hidden="1" customHeight="1" x14ac:dyDescent="0.3"/>
    <row r="397" ht="15.75" hidden="1" customHeight="1" x14ac:dyDescent="0.3"/>
    <row r="398" ht="15.75" hidden="1" customHeight="1" x14ac:dyDescent="0.3"/>
    <row r="399" ht="15.75" hidden="1" customHeight="1" x14ac:dyDescent="0.3"/>
    <row r="400" ht="15.75" hidden="1" customHeight="1" x14ac:dyDescent="0.3"/>
    <row r="401" ht="15.75" hidden="1" customHeight="1" x14ac:dyDescent="0.3"/>
    <row r="402" ht="15.75" hidden="1" customHeight="1" x14ac:dyDescent="0.3"/>
    <row r="403" ht="15.75" hidden="1" customHeight="1" x14ac:dyDescent="0.3"/>
    <row r="404" ht="15.75" hidden="1" customHeight="1" x14ac:dyDescent="0.3"/>
    <row r="405" ht="15.75" hidden="1" customHeight="1" x14ac:dyDescent="0.3"/>
    <row r="406" ht="15.75" hidden="1" customHeight="1" x14ac:dyDescent="0.3"/>
    <row r="407" ht="15.75" hidden="1" customHeight="1" x14ac:dyDescent="0.3"/>
    <row r="408" ht="15.75" hidden="1" customHeight="1" x14ac:dyDescent="0.3"/>
    <row r="409" ht="15.75" hidden="1" customHeight="1" x14ac:dyDescent="0.3"/>
    <row r="410" ht="15.75" hidden="1" customHeight="1" x14ac:dyDescent="0.3"/>
    <row r="411" ht="15.75" hidden="1" customHeight="1" x14ac:dyDescent="0.3"/>
    <row r="412" ht="15.75" hidden="1" customHeight="1" x14ac:dyDescent="0.3"/>
    <row r="413" ht="15.75" hidden="1" customHeight="1" x14ac:dyDescent="0.3"/>
    <row r="414" ht="15.75" hidden="1" customHeight="1" x14ac:dyDescent="0.3"/>
    <row r="415" ht="15.75" hidden="1" customHeight="1" x14ac:dyDescent="0.3"/>
    <row r="416" ht="15.75" hidden="1" customHeight="1" x14ac:dyDescent="0.3"/>
    <row r="417" ht="15.75" hidden="1" customHeight="1" x14ac:dyDescent="0.3"/>
    <row r="418" ht="15.75" hidden="1" customHeight="1" x14ac:dyDescent="0.3"/>
    <row r="419" ht="15.75" hidden="1" customHeight="1" x14ac:dyDescent="0.3"/>
    <row r="420" ht="15.75" hidden="1" customHeight="1" x14ac:dyDescent="0.3"/>
    <row r="421" ht="15.75" hidden="1" customHeight="1" x14ac:dyDescent="0.3"/>
    <row r="422" ht="15.75" hidden="1" customHeight="1" x14ac:dyDescent="0.3"/>
    <row r="423" ht="15.75" hidden="1" customHeight="1" x14ac:dyDescent="0.3"/>
    <row r="424" ht="15.75" hidden="1" customHeight="1" x14ac:dyDescent="0.3"/>
    <row r="425" ht="15.75" hidden="1" customHeight="1" x14ac:dyDescent="0.3"/>
    <row r="426" ht="15.75" hidden="1" customHeight="1" x14ac:dyDescent="0.3"/>
    <row r="427" ht="15.75" hidden="1" customHeight="1" x14ac:dyDescent="0.3"/>
    <row r="428" ht="15.75" hidden="1" customHeight="1" x14ac:dyDescent="0.3"/>
    <row r="429" ht="15.75" hidden="1" customHeight="1" x14ac:dyDescent="0.3"/>
    <row r="430" ht="15.75" hidden="1" customHeight="1" x14ac:dyDescent="0.3"/>
    <row r="431" ht="15.75" hidden="1" customHeight="1" x14ac:dyDescent="0.3"/>
    <row r="432" ht="15.75" hidden="1" customHeight="1" x14ac:dyDescent="0.3"/>
    <row r="433" ht="15.75" hidden="1" customHeight="1" x14ac:dyDescent="0.3"/>
    <row r="434" ht="15.75" hidden="1" customHeight="1" x14ac:dyDescent="0.3"/>
    <row r="435" ht="15.75" hidden="1" customHeight="1" x14ac:dyDescent="0.3"/>
    <row r="436" ht="15.75" hidden="1" customHeight="1" x14ac:dyDescent="0.3"/>
    <row r="437" ht="15.75" hidden="1" customHeight="1" x14ac:dyDescent="0.3"/>
    <row r="438" ht="15.75" hidden="1" customHeight="1" x14ac:dyDescent="0.3"/>
    <row r="439" ht="15.75" hidden="1" customHeight="1" x14ac:dyDescent="0.3"/>
    <row r="440" ht="15.75" hidden="1" customHeight="1" x14ac:dyDescent="0.3"/>
    <row r="441" ht="15.75" hidden="1" customHeight="1" x14ac:dyDescent="0.3"/>
    <row r="442" ht="15.75" hidden="1" customHeight="1" x14ac:dyDescent="0.3"/>
    <row r="443" ht="15.75" hidden="1" customHeight="1" x14ac:dyDescent="0.3"/>
    <row r="444" ht="15.75" hidden="1" customHeight="1" x14ac:dyDescent="0.3"/>
    <row r="445" ht="15.75" hidden="1" customHeight="1" x14ac:dyDescent="0.3"/>
    <row r="446" ht="15.75" hidden="1" customHeight="1" x14ac:dyDescent="0.3"/>
    <row r="447" ht="15.75" hidden="1" customHeight="1" x14ac:dyDescent="0.3"/>
    <row r="448" ht="15.75" hidden="1" customHeight="1" x14ac:dyDescent="0.3"/>
    <row r="449" ht="15.75" hidden="1" customHeight="1" x14ac:dyDescent="0.3"/>
    <row r="450" ht="15.75" hidden="1" customHeight="1" x14ac:dyDescent="0.3"/>
    <row r="451" ht="15.75" hidden="1" customHeight="1" x14ac:dyDescent="0.3"/>
    <row r="452" ht="15.75" hidden="1" customHeight="1" x14ac:dyDescent="0.3"/>
    <row r="453" ht="15.75" hidden="1" customHeight="1" x14ac:dyDescent="0.3"/>
    <row r="454" ht="15.75" hidden="1" customHeight="1" x14ac:dyDescent="0.3"/>
    <row r="455" ht="15.75" hidden="1" customHeight="1" x14ac:dyDescent="0.3"/>
    <row r="456" ht="15.75" hidden="1" customHeight="1" x14ac:dyDescent="0.3"/>
    <row r="457" ht="15.75" hidden="1" customHeight="1" x14ac:dyDescent="0.3"/>
    <row r="458" ht="15.75" hidden="1" customHeight="1" x14ac:dyDescent="0.3"/>
    <row r="459" ht="15.75" hidden="1" customHeight="1" x14ac:dyDescent="0.3"/>
    <row r="460" ht="15.75" hidden="1" customHeight="1" x14ac:dyDescent="0.3"/>
    <row r="461" ht="15.75" hidden="1" customHeight="1" x14ac:dyDescent="0.3"/>
    <row r="462" ht="15.75" hidden="1" customHeight="1" x14ac:dyDescent="0.3"/>
    <row r="463" ht="15.75" hidden="1" customHeight="1" x14ac:dyDescent="0.3"/>
    <row r="464" ht="15.75" hidden="1" customHeight="1" x14ac:dyDescent="0.3"/>
    <row r="465" ht="15.75" hidden="1" customHeight="1" x14ac:dyDescent="0.3"/>
    <row r="466" ht="15.75" hidden="1" customHeight="1" x14ac:dyDescent="0.3"/>
    <row r="467" ht="15.75" hidden="1" customHeight="1" x14ac:dyDescent="0.3"/>
    <row r="468" ht="15.75" hidden="1" customHeight="1" x14ac:dyDescent="0.3"/>
    <row r="469" ht="15.75" hidden="1" customHeight="1" x14ac:dyDescent="0.3"/>
    <row r="470" ht="15.75" hidden="1" customHeight="1" x14ac:dyDescent="0.3"/>
    <row r="471" ht="15.75" hidden="1" customHeight="1" x14ac:dyDescent="0.3"/>
    <row r="472" ht="15.75" hidden="1" customHeight="1" x14ac:dyDescent="0.3"/>
    <row r="473" ht="15.75" hidden="1" customHeight="1" x14ac:dyDescent="0.3"/>
    <row r="474" ht="15.75" hidden="1" customHeight="1" x14ac:dyDescent="0.3"/>
    <row r="475" ht="15.75" hidden="1" customHeight="1" x14ac:dyDescent="0.3"/>
    <row r="476" ht="15.75" hidden="1" customHeight="1" x14ac:dyDescent="0.3"/>
    <row r="477" ht="15.75" hidden="1" customHeight="1" x14ac:dyDescent="0.3"/>
    <row r="478" ht="15.75" hidden="1" customHeight="1" x14ac:dyDescent="0.3"/>
    <row r="479" ht="15.75" hidden="1" customHeight="1" x14ac:dyDescent="0.3"/>
    <row r="480" ht="15.75" hidden="1" customHeight="1" x14ac:dyDescent="0.3"/>
    <row r="481" ht="15.75" hidden="1" customHeight="1" x14ac:dyDescent="0.3"/>
    <row r="482" ht="15.75" hidden="1" customHeight="1" x14ac:dyDescent="0.3"/>
    <row r="483" ht="15.75" hidden="1" customHeight="1" x14ac:dyDescent="0.3"/>
    <row r="484" ht="15.75" hidden="1" customHeight="1" x14ac:dyDescent="0.3"/>
    <row r="485" ht="15.75" hidden="1" customHeight="1" x14ac:dyDescent="0.3"/>
    <row r="486" ht="15.75" hidden="1" customHeight="1" x14ac:dyDescent="0.3"/>
    <row r="487" ht="15.75" hidden="1" customHeight="1" x14ac:dyDescent="0.3"/>
    <row r="488" ht="15.75" hidden="1" customHeight="1" x14ac:dyDescent="0.3"/>
    <row r="489" ht="15.75" hidden="1" customHeight="1" x14ac:dyDescent="0.3"/>
    <row r="490" ht="15.75" hidden="1" customHeight="1" x14ac:dyDescent="0.3"/>
    <row r="491" ht="15.75" hidden="1" customHeight="1" x14ac:dyDescent="0.3"/>
    <row r="492" ht="15.75" hidden="1" customHeight="1" x14ac:dyDescent="0.3"/>
    <row r="493" ht="15.75" hidden="1" customHeight="1" x14ac:dyDescent="0.3"/>
    <row r="494" ht="15.75" hidden="1" customHeight="1" x14ac:dyDescent="0.3"/>
    <row r="495" ht="15.75" hidden="1" customHeight="1" x14ac:dyDescent="0.3"/>
    <row r="496" ht="15.75" hidden="1" customHeight="1" x14ac:dyDescent="0.3"/>
    <row r="497" ht="15.75" hidden="1" customHeight="1" x14ac:dyDescent="0.3"/>
    <row r="498" ht="15.75" hidden="1" customHeight="1" x14ac:dyDescent="0.3"/>
    <row r="499" ht="15.75" hidden="1" customHeight="1" x14ac:dyDescent="0.3"/>
    <row r="500" ht="15.75" hidden="1" customHeight="1" x14ac:dyDescent="0.3"/>
    <row r="501" ht="15.75" hidden="1" customHeight="1" x14ac:dyDescent="0.3"/>
    <row r="502" ht="15.75" hidden="1" customHeight="1" x14ac:dyDescent="0.3"/>
    <row r="503" ht="15.75" hidden="1" customHeight="1" x14ac:dyDescent="0.3"/>
    <row r="504" ht="15.75" hidden="1" customHeight="1" x14ac:dyDescent="0.3"/>
    <row r="505" ht="15.75" hidden="1" customHeight="1" x14ac:dyDescent="0.3"/>
    <row r="506" ht="15.75" hidden="1" customHeight="1" x14ac:dyDescent="0.3"/>
    <row r="507" ht="15.75" hidden="1" customHeight="1" x14ac:dyDescent="0.3"/>
    <row r="508" ht="15.75" hidden="1" customHeight="1" x14ac:dyDescent="0.3"/>
    <row r="509" ht="15.75" hidden="1" customHeight="1" x14ac:dyDescent="0.3"/>
    <row r="510" ht="15.75" hidden="1" customHeight="1" x14ac:dyDescent="0.3"/>
    <row r="511" ht="15.75" hidden="1" customHeight="1" x14ac:dyDescent="0.3"/>
    <row r="512" ht="15.75" hidden="1" customHeight="1" x14ac:dyDescent="0.3"/>
    <row r="513" ht="15.75" hidden="1" customHeight="1" x14ac:dyDescent="0.3"/>
    <row r="514" ht="15.75" hidden="1" customHeight="1" x14ac:dyDescent="0.3"/>
    <row r="515" ht="15.75" hidden="1" customHeight="1" x14ac:dyDescent="0.3"/>
    <row r="516" ht="15.75" hidden="1" customHeight="1" x14ac:dyDescent="0.3"/>
    <row r="517" ht="15.75" hidden="1" customHeight="1" x14ac:dyDescent="0.3"/>
    <row r="518" ht="15.75" hidden="1" customHeight="1" x14ac:dyDescent="0.3"/>
    <row r="519" ht="15.75" hidden="1" customHeight="1" x14ac:dyDescent="0.3"/>
    <row r="520" ht="15.75" hidden="1" customHeight="1" x14ac:dyDescent="0.3"/>
    <row r="521" ht="15.75" hidden="1" customHeight="1" x14ac:dyDescent="0.3"/>
    <row r="522" ht="15.75" hidden="1" customHeight="1" x14ac:dyDescent="0.3"/>
    <row r="523" ht="15.75" hidden="1" customHeight="1" x14ac:dyDescent="0.3"/>
    <row r="524" ht="15.75" hidden="1" customHeight="1" x14ac:dyDescent="0.3"/>
    <row r="525" ht="15.75" hidden="1" customHeight="1" x14ac:dyDescent="0.3"/>
    <row r="526" ht="15.75" hidden="1" customHeight="1" x14ac:dyDescent="0.3"/>
    <row r="527" ht="15.75" hidden="1" customHeight="1" x14ac:dyDescent="0.3"/>
    <row r="528" ht="15.75" hidden="1" customHeight="1" x14ac:dyDescent="0.3"/>
    <row r="529" ht="15.75" hidden="1" customHeight="1" x14ac:dyDescent="0.3"/>
    <row r="530" ht="15.75" hidden="1" customHeight="1" x14ac:dyDescent="0.3"/>
    <row r="531" ht="15.75" hidden="1" customHeight="1" x14ac:dyDescent="0.3"/>
    <row r="532" ht="15.75" hidden="1" customHeight="1" x14ac:dyDescent="0.3"/>
    <row r="533" ht="15.75" hidden="1" customHeight="1" x14ac:dyDescent="0.3"/>
    <row r="534" ht="15.75" hidden="1" customHeight="1" x14ac:dyDescent="0.3"/>
    <row r="535" ht="15.75" hidden="1" customHeight="1" x14ac:dyDescent="0.3"/>
    <row r="536" ht="15.75" hidden="1" customHeight="1" x14ac:dyDescent="0.3"/>
    <row r="537" ht="15.75" hidden="1" customHeight="1" x14ac:dyDescent="0.3"/>
    <row r="538" ht="15.75" hidden="1" customHeight="1" x14ac:dyDescent="0.3"/>
    <row r="539" ht="15.75" hidden="1" customHeight="1" x14ac:dyDescent="0.3"/>
    <row r="540" ht="15.75" hidden="1" customHeight="1" x14ac:dyDescent="0.3"/>
    <row r="541" ht="15.75" hidden="1" customHeight="1" x14ac:dyDescent="0.3"/>
    <row r="542" ht="15.75" hidden="1" customHeight="1" x14ac:dyDescent="0.3"/>
    <row r="543" ht="15.75" hidden="1" customHeight="1" x14ac:dyDescent="0.3"/>
    <row r="544" ht="15.75" hidden="1" customHeight="1" x14ac:dyDescent="0.3"/>
    <row r="545" ht="15.75" hidden="1" customHeight="1" x14ac:dyDescent="0.3"/>
    <row r="546" ht="15.75" hidden="1" customHeight="1" x14ac:dyDescent="0.3"/>
    <row r="547" ht="15.75" hidden="1" customHeight="1" x14ac:dyDescent="0.3"/>
    <row r="548" ht="15.75" hidden="1" customHeight="1" x14ac:dyDescent="0.3"/>
    <row r="549" ht="15.75" hidden="1" customHeight="1" x14ac:dyDescent="0.3"/>
    <row r="550" ht="15.75" hidden="1" customHeight="1" x14ac:dyDescent="0.3"/>
    <row r="551" ht="15.75" hidden="1" customHeight="1" x14ac:dyDescent="0.3"/>
    <row r="552" ht="15.75" hidden="1" customHeight="1" x14ac:dyDescent="0.3"/>
    <row r="553" ht="15.75" hidden="1" customHeight="1" x14ac:dyDescent="0.3"/>
    <row r="554" ht="15.75" hidden="1" customHeight="1" x14ac:dyDescent="0.3"/>
    <row r="555" ht="15.75" hidden="1" customHeight="1" x14ac:dyDescent="0.3"/>
    <row r="556" ht="15.75" hidden="1" customHeight="1" x14ac:dyDescent="0.3"/>
    <row r="557" ht="15.75" hidden="1" customHeight="1" x14ac:dyDescent="0.3"/>
    <row r="558" ht="15.75" hidden="1" customHeight="1" x14ac:dyDescent="0.3"/>
    <row r="559" ht="15.75" hidden="1" customHeight="1" x14ac:dyDescent="0.3"/>
    <row r="560" ht="15.75" hidden="1" customHeight="1" x14ac:dyDescent="0.3"/>
    <row r="561" ht="15.75" hidden="1" customHeight="1" x14ac:dyDescent="0.3"/>
    <row r="562" ht="15.75" hidden="1" customHeight="1" x14ac:dyDescent="0.3"/>
    <row r="563" ht="15.75" hidden="1" customHeight="1" x14ac:dyDescent="0.3"/>
    <row r="564" ht="15.75" hidden="1" customHeight="1" x14ac:dyDescent="0.3"/>
    <row r="565" ht="15.75" hidden="1" customHeight="1" x14ac:dyDescent="0.3"/>
    <row r="566" ht="15.75" hidden="1" customHeight="1" x14ac:dyDescent="0.3"/>
    <row r="567" ht="15.75" hidden="1" customHeight="1" x14ac:dyDescent="0.3"/>
    <row r="568" ht="15.75" hidden="1" customHeight="1" x14ac:dyDescent="0.3"/>
    <row r="569" ht="15.75" hidden="1" customHeight="1" x14ac:dyDescent="0.3"/>
    <row r="570" ht="15.75" hidden="1" customHeight="1" x14ac:dyDescent="0.3"/>
    <row r="571" ht="15.75" hidden="1" customHeight="1" x14ac:dyDescent="0.3"/>
    <row r="572" ht="15.75" hidden="1" customHeight="1" x14ac:dyDescent="0.3"/>
    <row r="573" ht="15.75" hidden="1" customHeight="1" x14ac:dyDescent="0.3"/>
    <row r="574" ht="15.75" hidden="1" customHeight="1" x14ac:dyDescent="0.3"/>
    <row r="575" ht="15.75" hidden="1" customHeight="1" x14ac:dyDescent="0.3"/>
    <row r="576" ht="15.75" hidden="1" customHeight="1" x14ac:dyDescent="0.3"/>
    <row r="577" ht="15.75" hidden="1" customHeight="1" x14ac:dyDescent="0.3"/>
    <row r="578" ht="15.75" hidden="1" customHeight="1" x14ac:dyDescent="0.3"/>
    <row r="579" ht="15.75" hidden="1" customHeight="1" x14ac:dyDescent="0.3"/>
    <row r="580" ht="15.75" hidden="1" customHeight="1" x14ac:dyDescent="0.3"/>
    <row r="581" ht="15.75" hidden="1" customHeight="1" x14ac:dyDescent="0.3"/>
    <row r="582" ht="15.75" hidden="1" customHeight="1" x14ac:dyDescent="0.3"/>
    <row r="583" ht="15.75" hidden="1" customHeight="1" x14ac:dyDescent="0.3"/>
    <row r="584" ht="15.75" hidden="1" customHeight="1" x14ac:dyDescent="0.3"/>
    <row r="585" ht="15.75" hidden="1" customHeight="1" x14ac:dyDescent="0.3"/>
    <row r="586" ht="15.75" hidden="1" customHeight="1" x14ac:dyDescent="0.3"/>
    <row r="587" ht="15.75" hidden="1" customHeight="1" x14ac:dyDescent="0.3"/>
    <row r="588" ht="15.75" hidden="1" customHeight="1" x14ac:dyDescent="0.3"/>
    <row r="589" ht="15.75" hidden="1" customHeight="1" x14ac:dyDescent="0.3"/>
    <row r="590" ht="15.75" hidden="1" customHeight="1" x14ac:dyDescent="0.3"/>
    <row r="591" ht="15.75" hidden="1" customHeight="1" x14ac:dyDescent="0.3"/>
    <row r="592" ht="15.75" hidden="1" customHeight="1" x14ac:dyDescent="0.3"/>
    <row r="593" ht="15.75" hidden="1" customHeight="1" x14ac:dyDescent="0.3"/>
    <row r="594" ht="15.75" hidden="1" customHeight="1" x14ac:dyDescent="0.3"/>
    <row r="595" ht="15.75" hidden="1" customHeight="1" x14ac:dyDescent="0.3"/>
    <row r="596" ht="15.75" hidden="1" customHeight="1" x14ac:dyDescent="0.3"/>
    <row r="597" ht="15.75" hidden="1" customHeight="1" x14ac:dyDescent="0.3"/>
    <row r="598" ht="15.75" hidden="1" customHeight="1" x14ac:dyDescent="0.3"/>
    <row r="599" ht="15.75" hidden="1" customHeight="1" x14ac:dyDescent="0.3"/>
    <row r="600" ht="15.75" hidden="1" customHeight="1" x14ac:dyDescent="0.3"/>
    <row r="601" ht="15.75" hidden="1" customHeight="1" x14ac:dyDescent="0.3"/>
    <row r="602" ht="15.75" hidden="1" customHeight="1" x14ac:dyDescent="0.3"/>
    <row r="603" ht="15.75" hidden="1" customHeight="1" x14ac:dyDescent="0.3"/>
    <row r="604" ht="15.75" hidden="1" customHeight="1" x14ac:dyDescent="0.3"/>
    <row r="605" ht="15.75" hidden="1" customHeight="1" x14ac:dyDescent="0.3"/>
    <row r="606" ht="15.75" hidden="1" customHeight="1" x14ac:dyDescent="0.3"/>
    <row r="607" ht="15.75" hidden="1" customHeight="1" x14ac:dyDescent="0.3"/>
    <row r="608" ht="15.75" hidden="1" customHeight="1" x14ac:dyDescent="0.3"/>
    <row r="609" ht="15.75" hidden="1" customHeight="1" x14ac:dyDescent="0.3"/>
    <row r="610" ht="15.75" hidden="1" customHeight="1" x14ac:dyDescent="0.3"/>
    <row r="611" ht="15.75" hidden="1" customHeight="1" x14ac:dyDescent="0.3"/>
    <row r="612" ht="15.75" hidden="1" customHeight="1" x14ac:dyDescent="0.3"/>
    <row r="613" ht="15.75" hidden="1" customHeight="1" x14ac:dyDescent="0.3"/>
    <row r="614" ht="15.75" hidden="1" customHeight="1" x14ac:dyDescent="0.3"/>
    <row r="615" ht="15.75" hidden="1" customHeight="1" x14ac:dyDescent="0.3"/>
    <row r="616" ht="15.75" hidden="1" customHeight="1" x14ac:dyDescent="0.3"/>
    <row r="617" ht="15.75" hidden="1" customHeight="1" x14ac:dyDescent="0.3"/>
    <row r="618" ht="15.75" hidden="1" customHeight="1" x14ac:dyDescent="0.3"/>
    <row r="619" ht="15.75" hidden="1" customHeight="1" x14ac:dyDescent="0.3"/>
    <row r="620" ht="15.75" hidden="1" customHeight="1" x14ac:dyDescent="0.3"/>
    <row r="621" ht="15.75" hidden="1" customHeight="1" x14ac:dyDescent="0.3"/>
    <row r="622" ht="15.75" hidden="1" customHeight="1" x14ac:dyDescent="0.3"/>
    <row r="623" ht="15.75" hidden="1" customHeight="1" x14ac:dyDescent="0.3"/>
    <row r="624" ht="15.75" hidden="1" customHeight="1" x14ac:dyDescent="0.3"/>
    <row r="625" ht="15.75" hidden="1" customHeight="1" x14ac:dyDescent="0.3"/>
    <row r="626" ht="15.75" hidden="1" customHeight="1" x14ac:dyDescent="0.3"/>
    <row r="627" ht="15.75" hidden="1" customHeight="1" x14ac:dyDescent="0.3"/>
    <row r="628" ht="15.75" hidden="1" customHeight="1" x14ac:dyDescent="0.3"/>
    <row r="629" ht="15.75" hidden="1" customHeight="1" x14ac:dyDescent="0.3"/>
    <row r="630" ht="15.75" hidden="1" customHeight="1" x14ac:dyDescent="0.3"/>
    <row r="631" ht="15.75" hidden="1" customHeight="1" x14ac:dyDescent="0.3"/>
    <row r="632" ht="15.75" hidden="1" customHeight="1" x14ac:dyDescent="0.3"/>
    <row r="633" ht="15.75" hidden="1" customHeight="1" x14ac:dyDescent="0.3"/>
    <row r="634" ht="15.75" hidden="1" customHeight="1" x14ac:dyDescent="0.3"/>
    <row r="635" ht="15.75" hidden="1" customHeight="1" x14ac:dyDescent="0.3"/>
    <row r="636" ht="15.75" hidden="1" customHeight="1" x14ac:dyDescent="0.3"/>
    <row r="637" ht="15.75" hidden="1" customHeight="1" x14ac:dyDescent="0.3"/>
    <row r="638" ht="15.75" hidden="1" customHeight="1" x14ac:dyDescent="0.3"/>
    <row r="639" ht="15.75" hidden="1" customHeight="1" x14ac:dyDescent="0.3"/>
    <row r="640" ht="15.75" hidden="1" customHeight="1" x14ac:dyDescent="0.3"/>
    <row r="641" ht="15.75" hidden="1" customHeight="1" x14ac:dyDescent="0.3"/>
    <row r="642" ht="15.75" hidden="1" customHeight="1" x14ac:dyDescent="0.3"/>
    <row r="643" ht="15.75" hidden="1" customHeight="1" x14ac:dyDescent="0.3"/>
    <row r="644" ht="15.75" hidden="1" customHeight="1" x14ac:dyDescent="0.3"/>
    <row r="645" ht="15.75" hidden="1" customHeight="1" x14ac:dyDescent="0.3"/>
    <row r="646" ht="15.75" hidden="1" customHeight="1" x14ac:dyDescent="0.3"/>
    <row r="647" ht="15.75" hidden="1" customHeight="1" x14ac:dyDescent="0.3"/>
    <row r="648" ht="15.75" hidden="1" customHeight="1" x14ac:dyDescent="0.3"/>
    <row r="649" ht="15.75" hidden="1" customHeight="1" x14ac:dyDescent="0.3"/>
    <row r="650" ht="15.75" hidden="1" customHeight="1" x14ac:dyDescent="0.3"/>
    <row r="651" ht="15.75" hidden="1" customHeight="1" x14ac:dyDescent="0.3"/>
    <row r="652" ht="15.75" hidden="1" customHeight="1" x14ac:dyDescent="0.3"/>
    <row r="653" ht="15.75" hidden="1" customHeight="1" x14ac:dyDescent="0.3"/>
    <row r="654" ht="15.75" hidden="1" customHeight="1" x14ac:dyDescent="0.3"/>
    <row r="655" ht="15.75" hidden="1" customHeight="1" x14ac:dyDescent="0.3"/>
    <row r="656" ht="15.75" hidden="1" customHeight="1" x14ac:dyDescent="0.3"/>
    <row r="657" ht="15.75" hidden="1" customHeight="1" x14ac:dyDescent="0.3"/>
    <row r="658" ht="15.75" hidden="1" customHeight="1" x14ac:dyDescent="0.3"/>
    <row r="659" ht="15.75" hidden="1" customHeight="1" x14ac:dyDescent="0.3"/>
    <row r="660" ht="15.75" hidden="1" customHeight="1" x14ac:dyDescent="0.3"/>
    <row r="661" ht="15.75" hidden="1" customHeight="1" x14ac:dyDescent="0.3"/>
    <row r="662" ht="15.75" hidden="1" customHeight="1" x14ac:dyDescent="0.3"/>
    <row r="663" ht="15.75" hidden="1" customHeight="1" x14ac:dyDescent="0.3"/>
    <row r="664" ht="15.75" hidden="1" customHeight="1" x14ac:dyDescent="0.3"/>
    <row r="665" ht="15.75" hidden="1" customHeight="1" x14ac:dyDescent="0.3"/>
    <row r="666" ht="15.75" hidden="1" customHeight="1" x14ac:dyDescent="0.3"/>
    <row r="667" ht="15.75" hidden="1" customHeight="1" x14ac:dyDescent="0.3"/>
    <row r="668" ht="15.75" hidden="1" customHeight="1" x14ac:dyDescent="0.3"/>
    <row r="669" ht="15.75" hidden="1" customHeight="1" x14ac:dyDescent="0.3"/>
    <row r="670" ht="15.75" hidden="1" customHeight="1" x14ac:dyDescent="0.3"/>
    <row r="671" ht="15.75" hidden="1" customHeight="1" x14ac:dyDescent="0.3"/>
    <row r="672" ht="15.75" hidden="1" customHeight="1" x14ac:dyDescent="0.3"/>
    <row r="673" ht="15.75" hidden="1" customHeight="1" x14ac:dyDescent="0.3"/>
    <row r="674" ht="15.75" hidden="1" customHeight="1" x14ac:dyDescent="0.3"/>
    <row r="675" ht="15.75" hidden="1" customHeight="1" x14ac:dyDescent="0.3"/>
    <row r="676" ht="15.75" hidden="1" customHeight="1" x14ac:dyDescent="0.3"/>
    <row r="677" ht="15.75" hidden="1" customHeight="1" x14ac:dyDescent="0.3"/>
    <row r="678" ht="15.75" hidden="1" customHeight="1" x14ac:dyDescent="0.3"/>
    <row r="679" ht="15.75" hidden="1" customHeight="1" x14ac:dyDescent="0.3"/>
    <row r="680" ht="15.75" hidden="1" customHeight="1" x14ac:dyDescent="0.3"/>
    <row r="681" ht="15.75" hidden="1" customHeight="1" x14ac:dyDescent="0.3"/>
    <row r="682" ht="15.75" hidden="1" customHeight="1" x14ac:dyDescent="0.3"/>
    <row r="683" ht="15.75" hidden="1" customHeight="1" x14ac:dyDescent="0.3"/>
    <row r="684" ht="15.75" hidden="1" customHeight="1" x14ac:dyDescent="0.3"/>
    <row r="685" ht="15.75" hidden="1" customHeight="1" x14ac:dyDescent="0.3"/>
    <row r="686" ht="15.75" hidden="1" customHeight="1" x14ac:dyDescent="0.3"/>
    <row r="687" ht="15.75" hidden="1" customHeight="1" x14ac:dyDescent="0.3"/>
    <row r="688" ht="15.75" hidden="1" customHeight="1" x14ac:dyDescent="0.3"/>
    <row r="689" ht="15.75" hidden="1" customHeight="1" x14ac:dyDescent="0.3"/>
    <row r="690" ht="15.75" hidden="1" customHeight="1" x14ac:dyDescent="0.3"/>
    <row r="691" ht="15.75" hidden="1" customHeight="1" x14ac:dyDescent="0.3"/>
    <row r="692" ht="15.75" hidden="1" customHeight="1" x14ac:dyDescent="0.3"/>
    <row r="693" ht="15.75" hidden="1" customHeight="1" x14ac:dyDescent="0.3"/>
    <row r="694" ht="15.75" hidden="1" customHeight="1" x14ac:dyDescent="0.3"/>
    <row r="695" ht="15.75" hidden="1" customHeight="1" x14ac:dyDescent="0.3"/>
    <row r="696" ht="15.75" hidden="1" customHeight="1" x14ac:dyDescent="0.3"/>
    <row r="697" ht="15.75" hidden="1" customHeight="1" x14ac:dyDescent="0.3"/>
    <row r="698" ht="15.75" hidden="1" customHeight="1" x14ac:dyDescent="0.3"/>
    <row r="699" ht="15.75" hidden="1" customHeight="1" x14ac:dyDescent="0.3"/>
    <row r="700" ht="15.75" hidden="1" customHeight="1" x14ac:dyDescent="0.3"/>
    <row r="701" ht="15.75" hidden="1" customHeight="1" x14ac:dyDescent="0.3"/>
    <row r="702" ht="15.75" hidden="1" customHeight="1" x14ac:dyDescent="0.3"/>
    <row r="703" ht="15.75" hidden="1" customHeight="1" x14ac:dyDescent="0.3"/>
    <row r="704" ht="15.75" hidden="1" customHeight="1" x14ac:dyDescent="0.3"/>
    <row r="705" ht="15.75" hidden="1" customHeight="1" x14ac:dyDescent="0.3"/>
    <row r="706" ht="15.75" hidden="1" customHeight="1" x14ac:dyDescent="0.3"/>
    <row r="707" ht="15.75" hidden="1" customHeight="1" x14ac:dyDescent="0.3"/>
    <row r="708" ht="15.75" hidden="1" customHeight="1" x14ac:dyDescent="0.3"/>
    <row r="709" ht="15.75" hidden="1" customHeight="1" x14ac:dyDescent="0.3"/>
    <row r="710" ht="15.75" hidden="1" customHeight="1" x14ac:dyDescent="0.3"/>
    <row r="711" ht="15.75" hidden="1" customHeight="1" x14ac:dyDescent="0.3"/>
    <row r="712" ht="15.75" hidden="1" customHeight="1" x14ac:dyDescent="0.3"/>
    <row r="713" ht="15.75" hidden="1" customHeight="1" x14ac:dyDescent="0.3"/>
    <row r="714" ht="15.75" hidden="1" customHeight="1" x14ac:dyDescent="0.3"/>
    <row r="715" ht="15.75" hidden="1" customHeight="1" x14ac:dyDescent="0.3"/>
    <row r="716" ht="15.75" hidden="1" customHeight="1" x14ac:dyDescent="0.3"/>
    <row r="717" ht="15.75" hidden="1" customHeight="1" x14ac:dyDescent="0.3"/>
    <row r="718" ht="15.75" hidden="1" customHeight="1" x14ac:dyDescent="0.3"/>
    <row r="719" ht="15.75" hidden="1" customHeight="1" x14ac:dyDescent="0.3"/>
    <row r="720" ht="15.75" hidden="1" customHeight="1" x14ac:dyDescent="0.3"/>
    <row r="721" ht="15.75" hidden="1" customHeight="1" x14ac:dyDescent="0.3"/>
    <row r="722" ht="15.75" hidden="1" customHeight="1" x14ac:dyDescent="0.3"/>
    <row r="723" ht="15.75" hidden="1" customHeight="1" x14ac:dyDescent="0.3"/>
    <row r="724" ht="15.75" hidden="1" customHeight="1" x14ac:dyDescent="0.3"/>
    <row r="725" ht="15.75" hidden="1" customHeight="1" x14ac:dyDescent="0.3"/>
    <row r="726" ht="15.75" hidden="1" customHeight="1" x14ac:dyDescent="0.3"/>
    <row r="727" ht="15.75" hidden="1" customHeight="1" x14ac:dyDescent="0.3"/>
    <row r="728" ht="15.75" hidden="1" customHeight="1" x14ac:dyDescent="0.3"/>
    <row r="729" ht="15.75" hidden="1" customHeight="1" x14ac:dyDescent="0.3"/>
    <row r="730" ht="15.75" hidden="1" customHeight="1" x14ac:dyDescent="0.3"/>
    <row r="731" ht="15.75" hidden="1" customHeight="1" x14ac:dyDescent="0.3"/>
    <row r="732" ht="15.75" hidden="1" customHeight="1" x14ac:dyDescent="0.3"/>
    <row r="733" ht="15.75" hidden="1" customHeight="1" x14ac:dyDescent="0.3"/>
    <row r="734" ht="15.75" hidden="1" customHeight="1" x14ac:dyDescent="0.3"/>
    <row r="735" ht="15.75" hidden="1" customHeight="1" x14ac:dyDescent="0.3"/>
    <row r="736" ht="15.75" hidden="1" customHeight="1" x14ac:dyDescent="0.3"/>
    <row r="737" ht="15.75" hidden="1" customHeight="1" x14ac:dyDescent="0.3"/>
    <row r="738" ht="15.75" hidden="1" customHeight="1" x14ac:dyDescent="0.3"/>
    <row r="739" ht="15.75" hidden="1" customHeight="1" x14ac:dyDescent="0.3"/>
    <row r="740" ht="15.75" hidden="1" customHeight="1" x14ac:dyDescent="0.3"/>
    <row r="741" ht="15.75" hidden="1" customHeight="1" x14ac:dyDescent="0.3"/>
    <row r="742" ht="15.75" hidden="1" customHeight="1" x14ac:dyDescent="0.3"/>
    <row r="743" ht="15.75" hidden="1" customHeight="1" x14ac:dyDescent="0.3"/>
    <row r="744" ht="15.75" hidden="1" customHeight="1" x14ac:dyDescent="0.3"/>
    <row r="745" ht="15.75" hidden="1" customHeight="1" x14ac:dyDescent="0.3"/>
    <row r="746" ht="15.75" hidden="1" customHeight="1" x14ac:dyDescent="0.3"/>
    <row r="747" ht="15.75" hidden="1" customHeight="1" x14ac:dyDescent="0.3"/>
    <row r="748" ht="15.75" hidden="1" customHeight="1" x14ac:dyDescent="0.3"/>
    <row r="749" ht="15.75" hidden="1" customHeight="1" x14ac:dyDescent="0.3"/>
    <row r="750" ht="15.75" hidden="1" customHeight="1" x14ac:dyDescent="0.3"/>
    <row r="751" ht="15.75" hidden="1" customHeight="1" x14ac:dyDescent="0.3"/>
    <row r="752" ht="15.75" hidden="1" customHeight="1" x14ac:dyDescent="0.3"/>
    <row r="753" ht="15.75" hidden="1" customHeight="1" x14ac:dyDescent="0.3"/>
    <row r="754" ht="15.75" hidden="1" customHeight="1" x14ac:dyDescent="0.3"/>
    <row r="755" ht="15.75" hidden="1" customHeight="1" x14ac:dyDescent="0.3"/>
    <row r="756" ht="15.75" hidden="1" customHeight="1" x14ac:dyDescent="0.3"/>
    <row r="757" ht="15.75" hidden="1" customHeight="1" x14ac:dyDescent="0.3"/>
    <row r="758" ht="15.75" hidden="1" customHeight="1" x14ac:dyDescent="0.3"/>
    <row r="759" ht="15.75" hidden="1" customHeight="1" x14ac:dyDescent="0.3"/>
    <row r="760" ht="15.75" hidden="1" customHeight="1" x14ac:dyDescent="0.3"/>
    <row r="761" ht="15.75" hidden="1" customHeight="1" x14ac:dyDescent="0.3"/>
    <row r="762" ht="15.75" hidden="1" customHeight="1" x14ac:dyDescent="0.3"/>
    <row r="763" ht="15.75" hidden="1" customHeight="1" x14ac:dyDescent="0.3"/>
    <row r="764" ht="15.75" hidden="1" customHeight="1" x14ac:dyDescent="0.3"/>
    <row r="765" ht="15.75" hidden="1" customHeight="1" x14ac:dyDescent="0.3"/>
    <row r="766" ht="15.75" hidden="1" customHeight="1" x14ac:dyDescent="0.3"/>
    <row r="767" ht="15.75" hidden="1" customHeight="1" x14ac:dyDescent="0.3"/>
    <row r="768" ht="15.75" hidden="1" customHeight="1" x14ac:dyDescent="0.3"/>
    <row r="769" ht="15.75" hidden="1" customHeight="1" x14ac:dyDescent="0.3"/>
    <row r="770" ht="15.75" hidden="1" customHeight="1" x14ac:dyDescent="0.3"/>
    <row r="771" ht="15.75" hidden="1" customHeight="1" x14ac:dyDescent="0.3"/>
    <row r="772" ht="15.75" hidden="1" customHeight="1" x14ac:dyDescent="0.3"/>
    <row r="773" ht="15.75" hidden="1" customHeight="1" x14ac:dyDescent="0.3"/>
    <row r="774" ht="15.75" hidden="1" customHeight="1" x14ac:dyDescent="0.3"/>
    <row r="775" ht="15.75" hidden="1" customHeight="1" x14ac:dyDescent="0.3"/>
    <row r="776" ht="15.75" hidden="1" customHeight="1" x14ac:dyDescent="0.3"/>
    <row r="777" ht="15.75" hidden="1" customHeight="1" x14ac:dyDescent="0.3"/>
    <row r="778" ht="15.75" hidden="1" customHeight="1" x14ac:dyDescent="0.3"/>
    <row r="779" ht="15.75" hidden="1" customHeight="1" x14ac:dyDescent="0.3"/>
    <row r="780" ht="15.75" hidden="1" customHeight="1" x14ac:dyDescent="0.3"/>
    <row r="781" ht="15.75" hidden="1" customHeight="1" x14ac:dyDescent="0.3"/>
    <row r="782" ht="15.75" hidden="1" customHeight="1" x14ac:dyDescent="0.3"/>
    <row r="783" ht="15.75" hidden="1" customHeight="1" x14ac:dyDescent="0.3"/>
    <row r="784" ht="15.75" hidden="1" customHeight="1" x14ac:dyDescent="0.3"/>
    <row r="785" ht="15.75" hidden="1" customHeight="1" x14ac:dyDescent="0.3"/>
    <row r="786" ht="15.75" hidden="1" customHeight="1" x14ac:dyDescent="0.3"/>
    <row r="787" ht="15.75" hidden="1" customHeight="1" x14ac:dyDescent="0.3"/>
    <row r="788" ht="15.75" hidden="1" customHeight="1" x14ac:dyDescent="0.3"/>
    <row r="789" ht="15.75" hidden="1" customHeight="1" x14ac:dyDescent="0.3"/>
    <row r="790" ht="15.75" hidden="1" customHeight="1" x14ac:dyDescent="0.3"/>
    <row r="791" ht="15.75" hidden="1" customHeight="1" x14ac:dyDescent="0.3"/>
    <row r="792" ht="15.75" hidden="1" customHeight="1" x14ac:dyDescent="0.3"/>
    <row r="793" ht="15.75" hidden="1" customHeight="1" x14ac:dyDescent="0.3"/>
    <row r="794" ht="15.75" hidden="1" customHeight="1" x14ac:dyDescent="0.3"/>
    <row r="795" ht="15.75" hidden="1" customHeight="1" x14ac:dyDescent="0.3"/>
    <row r="796" ht="15.75" hidden="1" customHeight="1" x14ac:dyDescent="0.3"/>
    <row r="797" ht="15.75" hidden="1" customHeight="1" x14ac:dyDescent="0.3"/>
    <row r="798" ht="15.75" hidden="1" customHeight="1" x14ac:dyDescent="0.3"/>
    <row r="799" ht="15.75" hidden="1" customHeight="1" x14ac:dyDescent="0.3"/>
    <row r="800" ht="15.75" hidden="1" customHeight="1" x14ac:dyDescent="0.3"/>
    <row r="801" ht="15.75" hidden="1" customHeight="1" x14ac:dyDescent="0.3"/>
    <row r="802" ht="15.75" hidden="1" customHeight="1" x14ac:dyDescent="0.3"/>
    <row r="803" ht="15.75" hidden="1" customHeight="1" x14ac:dyDescent="0.3"/>
    <row r="804" ht="15.75" hidden="1" customHeight="1" x14ac:dyDescent="0.3"/>
    <row r="805" ht="15.75" hidden="1" customHeight="1" x14ac:dyDescent="0.3"/>
    <row r="806" ht="15.75" hidden="1" customHeight="1" x14ac:dyDescent="0.3"/>
    <row r="807" ht="15.75" hidden="1" customHeight="1" x14ac:dyDescent="0.3"/>
    <row r="808" ht="15.75" hidden="1" customHeight="1" x14ac:dyDescent="0.3"/>
    <row r="809" ht="15.75" hidden="1" customHeight="1" x14ac:dyDescent="0.3"/>
    <row r="810" ht="15.75" hidden="1" customHeight="1" x14ac:dyDescent="0.3"/>
    <row r="811" ht="15.75" hidden="1" customHeight="1" x14ac:dyDescent="0.3"/>
    <row r="812" ht="15.75" hidden="1" customHeight="1" x14ac:dyDescent="0.3"/>
    <row r="813" ht="15.75" hidden="1" customHeight="1" x14ac:dyDescent="0.3"/>
    <row r="814" ht="15.75" hidden="1" customHeight="1" x14ac:dyDescent="0.3"/>
    <row r="815" ht="15.75" hidden="1" customHeight="1" x14ac:dyDescent="0.3"/>
    <row r="816" ht="15.75" hidden="1" customHeight="1" x14ac:dyDescent="0.3"/>
    <row r="817" ht="15.75" hidden="1" customHeight="1" x14ac:dyDescent="0.3"/>
    <row r="818" ht="15.75" hidden="1" customHeight="1" x14ac:dyDescent="0.3"/>
    <row r="819" ht="15.75" hidden="1" customHeight="1" x14ac:dyDescent="0.3"/>
    <row r="820" ht="15.75" hidden="1" customHeight="1" x14ac:dyDescent="0.3"/>
    <row r="821" ht="15.75" hidden="1" customHeight="1" x14ac:dyDescent="0.3"/>
    <row r="822" ht="15.75" hidden="1" customHeight="1" x14ac:dyDescent="0.3"/>
    <row r="823" ht="15.75" hidden="1" customHeight="1" x14ac:dyDescent="0.3"/>
    <row r="824" ht="15.75" hidden="1" customHeight="1" x14ac:dyDescent="0.3"/>
    <row r="825" ht="15.75" hidden="1" customHeight="1" x14ac:dyDescent="0.3"/>
    <row r="826" ht="15.75" hidden="1" customHeight="1" x14ac:dyDescent="0.3"/>
    <row r="827" ht="15.75" hidden="1" customHeight="1" x14ac:dyDescent="0.3"/>
    <row r="828" ht="15.75" hidden="1" customHeight="1" x14ac:dyDescent="0.3"/>
    <row r="829" ht="15.75" hidden="1" customHeight="1" x14ac:dyDescent="0.3"/>
    <row r="830" ht="15.75" hidden="1" customHeight="1" x14ac:dyDescent="0.3"/>
    <row r="831" ht="15.75" hidden="1" customHeight="1" x14ac:dyDescent="0.3"/>
    <row r="832" ht="15.75" hidden="1" customHeight="1" x14ac:dyDescent="0.3"/>
    <row r="833" ht="15.75" hidden="1" customHeight="1" x14ac:dyDescent="0.3"/>
    <row r="834" ht="15.75" hidden="1" customHeight="1" x14ac:dyDescent="0.3"/>
    <row r="835" ht="15.75" hidden="1" customHeight="1" x14ac:dyDescent="0.3"/>
    <row r="836" ht="15.75" hidden="1" customHeight="1" x14ac:dyDescent="0.3"/>
    <row r="837" ht="15.75" hidden="1" customHeight="1" x14ac:dyDescent="0.3"/>
    <row r="838" ht="15.75" hidden="1" customHeight="1" x14ac:dyDescent="0.3"/>
    <row r="839" ht="15.75" hidden="1" customHeight="1" x14ac:dyDescent="0.3"/>
    <row r="840" ht="15.75" hidden="1" customHeight="1" x14ac:dyDescent="0.3"/>
    <row r="841" ht="15.75" hidden="1" customHeight="1" x14ac:dyDescent="0.3"/>
    <row r="842" ht="15.75" hidden="1" customHeight="1" x14ac:dyDescent="0.3"/>
    <row r="843" ht="15.75" hidden="1" customHeight="1" x14ac:dyDescent="0.3"/>
    <row r="844" ht="15.75" hidden="1" customHeight="1" x14ac:dyDescent="0.3"/>
    <row r="845" ht="15.75" hidden="1" customHeight="1" x14ac:dyDescent="0.3"/>
    <row r="846" ht="15.75" hidden="1" customHeight="1" x14ac:dyDescent="0.3"/>
    <row r="847" ht="15.75" hidden="1" customHeight="1" x14ac:dyDescent="0.3"/>
    <row r="848" ht="15.75" hidden="1" customHeight="1" x14ac:dyDescent="0.3"/>
    <row r="849" ht="15.75" hidden="1" customHeight="1" x14ac:dyDescent="0.3"/>
    <row r="850" ht="15.75" hidden="1" customHeight="1" x14ac:dyDescent="0.3"/>
    <row r="851" ht="15.75" hidden="1" customHeight="1" x14ac:dyDescent="0.3"/>
    <row r="852" ht="15.75" hidden="1" customHeight="1" x14ac:dyDescent="0.3"/>
    <row r="853" ht="15.75" hidden="1" customHeight="1" x14ac:dyDescent="0.3"/>
    <row r="854" ht="15.75" hidden="1" customHeight="1" x14ac:dyDescent="0.3"/>
    <row r="855" ht="15.75" hidden="1" customHeight="1" x14ac:dyDescent="0.3"/>
    <row r="856" ht="15.75" hidden="1" customHeight="1" x14ac:dyDescent="0.3"/>
    <row r="857" ht="15.75" hidden="1" customHeight="1" x14ac:dyDescent="0.3"/>
    <row r="858" ht="15.75" hidden="1" customHeight="1" x14ac:dyDescent="0.3"/>
    <row r="859" ht="15.75" hidden="1" customHeight="1" x14ac:dyDescent="0.3"/>
    <row r="860" ht="15.75" hidden="1" customHeight="1" x14ac:dyDescent="0.3"/>
    <row r="861" ht="15.75" hidden="1" customHeight="1" x14ac:dyDescent="0.3"/>
    <row r="862" ht="15.75" hidden="1" customHeight="1" x14ac:dyDescent="0.3"/>
    <row r="863" ht="15.75" hidden="1" customHeight="1" x14ac:dyDescent="0.3"/>
    <row r="864" ht="15.75" hidden="1" customHeight="1" x14ac:dyDescent="0.3"/>
    <row r="865" ht="15.75" hidden="1" customHeight="1" x14ac:dyDescent="0.3"/>
    <row r="866" ht="15.75" hidden="1" customHeight="1" x14ac:dyDescent="0.3"/>
    <row r="867" ht="15.75" hidden="1" customHeight="1" x14ac:dyDescent="0.3"/>
    <row r="868" ht="15.75" hidden="1" customHeight="1" x14ac:dyDescent="0.3"/>
    <row r="869" ht="15.75" hidden="1" customHeight="1" x14ac:dyDescent="0.3"/>
    <row r="870" ht="15.75" hidden="1" customHeight="1" x14ac:dyDescent="0.3"/>
    <row r="871" ht="15.75" hidden="1" customHeight="1" x14ac:dyDescent="0.3"/>
    <row r="872" ht="15.75" hidden="1" customHeight="1" x14ac:dyDescent="0.3"/>
    <row r="873" ht="15.75" hidden="1" customHeight="1" x14ac:dyDescent="0.3"/>
    <row r="874" ht="15.75" hidden="1" customHeight="1" x14ac:dyDescent="0.3"/>
    <row r="875" ht="15.75" hidden="1" customHeight="1" x14ac:dyDescent="0.3"/>
    <row r="876" ht="15.75" hidden="1" customHeight="1" x14ac:dyDescent="0.3"/>
    <row r="877" ht="15.75" hidden="1" customHeight="1" x14ac:dyDescent="0.3"/>
    <row r="878" ht="15.75" hidden="1" customHeight="1" x14ac:dyDescent="0.3"/>
    <row r="879" ht="15.75" hidden="1" customHeight="1" x14ac:dyDescent="0.3"/>
    <row r="880" ht="15.75" hidden="1" customHeight="1" x14ac:dyDescent="0.3"/>
    <row r="881" ht="15.75" hidden="1" customHeight="1" x14ac:dyDescent="0.3"/>
    <row r="882" ht="15.75" hidden="1" customHeight="1" x14ac:dyDescent="0.3"/>
    <row r="883" ht="15.75" hidden="1" customHeight="1" x14ac:dyDescent="0.3"/>
    <row r="884" ht="15.75" hidden="1" customHeight="1" x14ac:dyDescent="0.3"/>
    <row r="885" ht="15.75" hidden="1" customHeight="1" x14ac:dyDescent="0.3"/>
    <row r="886" ht="15.75" hidden="1" customHeight="1" x14ac:dyDescent="0.3"/>
    <row r="887" ht="15.75" hidden="1" customHeight="1" x14ac:dyDescent="0.3"/>
    <row r="888" ht="15.75" hidden="1" customHeight="1" x14ac:dyDescent="0.3"/>
    <row r="889" ht="15.75" hidden="1" customHeight="1" x14ac:dyDescent="0.3"/>
    <row r="890" ht="15.75" hidden="1" customHeight="1" x14ac:dyDescent="0.3"/>
    <row r="891" ht="15.75" hidden="1" customHeight="1" x14ac:dyDescent="0.3"/>
    <row r="892" ht="15.75" hidden="1" customHeight="1" x14ac:dyDescent="0.3"/>
    <row r="893" ht="15.75" hidden="1" customHeight="1" x14ac:dyDescent="0.3"/>
    <row r="894" ht="15.75" hidden="1" customHeight="1" x14ac:dyDescent="0.3"/>
    <row r="895" ht="15.75" hidden="1" customHeight="1" x14ac:dyDescent="0.3"/>
    <row r="896" ht="15.75" hidden="1" customHeight="1" x14ac:dyDescent="0.3"/>
    <row r="897" ht="15.75" hidden="1" customHeight="1" x14ac:dyDescent="0.3"/>
    <row r="898" ht="15.75" hidden="1" customHeight="1" x14ac:dyDescent="0.3"/>
    <row r="899" ht="15.75" hidden="1" customHeight="1" x14ac:dyDescent="0.3"/>
    <row r="900" ht="15.75" hidden="1" customHeight="1" x14ac:dyDescent="0.3"/>
    <row r="901" ht="15.75" hidden="1" customHeight="1" x14ac:dyDescent="0.3"/>
    <row r="902" ht="15.75" hidden="1" customHeight="1" x14ac:dyDescent="0.3"/>
    <row r="903" ht="15.75" hidden="1" customHeight="1" x14ac:dyDescent="0.3"/>
    <row r="904" ht="15.75" hidden="1" customHeight="1" x14ac:dyDescent="0.3"/>
    <row r="905" ht="15.75" hidden="1" customHeight="1" x14ac:dyDescent="0.3"/>
    <row r="906" ht="15.75" hidden="1" customHeight="1" x14ac:dyDescent="0.3"/>
    <row r="907" ht="15.75" hidden="1" customHeight="1" x14ac:dyDescent="0.3"/>
    <row r="908" ht="15.75" hidden="1" customHeight="1" x14ac:dyDescent="0.3"/>
    <row r="909" ht="15.75" hidden="1" customHeight="1" x14ac:dyDescent="0.3"/>
    <row r="910" ht="15.75" hidden="1" customHeight="1" x14ac:dyDescent="0.3"/>
    <row r="911" ht="15.75" hidden="1" customHeight="1" x14ac:dyDescent="0.3"/>
    <row r="912" ht="15.75" hidden="1" customHeight="1" x14ac:dyDescent="0.3"/>
    <row r="913" ht="15.75" hidden="1" customHeight="1" x14ac:dyDescent="0.3"/>
    <row r="914" ht="15.75" hidden="1" customHeight="1" x14ac:dyDescent="0.3"/>
    <row r="915" ht="15.75" hidden="1" customHeight="1" x14ac:dyDescent="0.3"/>
    <row r="916" ht="15.75" hidden="1" customHeight="1" x14ac:dyDescent="0.3"/>
    <row r="917" ht="15.75" hidden="1" customHeight="1" x14ac:dyDescent="0.3"/>
    <row r="918" ht="15.75" hidden="1" customHeight="1" x14ac:dyDescent="0.3"/>
    <row r="919" ht="15.75" hidden="1" customHeight="1" x14ac:dyDescent="0.3"/>
    <row r="920" ht="15.75" hidden="1" customHeight="1" x14ac:dyDescent="0.3"/>
    <row r="921" ht="15.75" hidden="1" customHeight="1" x14ac:dyDescent="0.3"/>
    <row r="922" ht="15.75" hidden="1" customHeight="1" x14ac:dyDescent="0.3"/>
    <row r="923" ht="15.75" hidden="1" customHeight="1" x14ac:dyDescent="0.3"/>
    <row r="924" ht="15.75" hidden="1" customHeight="1" x14ac:dyDescent="0.3"/>
    <row r="925" ht="15.75" hidden="1" customHeight="1" x14ac:dyDescent="0.3"/>
    <row r="926" ht="15.75" hidden="1" customHeight="1" x14ac:dyDescent="0.3"/>
    <row r="927" ht="15.75" hidden="1" customHeight="1" x14ac:dyDescent="0.3"/>
    <row r="928" ht="15.75" hidden="1" customHeight="1" x14ac:dyDescent="0.3"/>
    <row r="929" ht="15.75" hidden="1" customHeight="1" x14ac:dyDescent="0.3"/>
    <row r="930" ht="15.75" hidden="1" customHeight="1" x14ac:dyDescent="0.3"/>
    <row r="931" ht="15.75" hidden="1" customHeight="1" x14ac:dyDescent="0.3"/>
    <row r="932" ht="15.75" hidden="1" customHeight="1" x14ac:dyDescent="0.3"/>
    <row r="933" ht="15.75" hidden="1" customHeight="1" x14ac:dyDescent="0.3"/>
    <row r="934" ht="15.75" hidden="1" customHeight="1" x14ac:dyDescent="0.3"/>
    <row r="935" ht="15.75" hidden="1" customHeight="1" x14ac:dyDescent="0.3"/>
    <row r="936" ht="15.75" hidden="1" customHeight="1" x14ac:dyDescent="0.3"/>
    <row r="937" ht="15.75" hidden="1" customHeight="1" x14ac:dyDescent="0.3"/>
    <row r="938" ht="15.75" hidden="1" customHeight="1" x14ac:dyDescent="0.3"/>
    <row r="939" ht="15.75" hidden="1" customHeight="1" x14ac:dyDescent="0.3"/>
    <row r="940" ht="15.75" hidden="1" customHeight="1" x14ac:dyDescent="0.3"/>
    <row r="941" ht="15.75" hidden="1" customHeight="1" x14ac:dyDescent="0.3"/>
    <row r="942" ht="15.75" hidden="1" customHeight="1" x14ac:dyDescent="0.3"/>
    <row r="943" ht="15.75" hidden="1" customHeight="1" x14ac:dyDescent="0.3"/>
    <row r="944" ht="15.75" hidden="1" customHeight="1" x14ac:dyDescent="0.3"/>
    <row r="945" ht="15.75" hidden="1" customHeight="1" x14ac:dyDescent="0.3"/>
    <row r="946" ht="15.75" hidden="1" customHeight="1" x14ac:dyDescent="0.3"/>
    <row r="947" ht="15.75" hidden="1" customHeight="1" x14ac:dyDescent="0.3"/>
    <row r="948" ht="15.75" hidden="1" customHeight="1" x14ac:dyDescent="0.3"/>
    <row r="949" ht="15.75" hidden="1" customHeight="1" x14ac:dyDescent="0.3"/>
    <row r="950" ht="15.75" hidden="1" customHeight="1" x14ac:dyDescent="0.3"/>
    <row r="951" ht="15.75" hidden="1" customHeight="1" x14ac:dyDescent="0.3"/>
    <row r="952" ht="15.75" hidden="1" customHeight="1" x14ac:dyDescent="0.3"/>
    <row r="953" ht="15.75" hidden="1" customHeight="1" x14ac:dyDescent="0.3"/>
    <row r="954" ht="15.75" hidden="1" customHeight="1" x14ac:dyDescent="0.3"/>
    <row r="955" ht="15.75" hidden="1" customHeight="1" x14ac:dyDescent="0.3"/>
    <row r="956" ht="15.75" hidden="1" customHeight="1" x14ac:dyDescent="0.3"/>
    <row r="957" ht="15.75" hidden="1" customHeight="1" x14ac:dyDescent="0.3"/>
    <row r="958" ht="15.75" hidden="1" customHeight="1" x14ac:dyDescent="0.3"/>
    <row r="959" ht="15.75" hidden="1" customHeight="1" x14ac:dyDescent="0.3"/>
    <row r="960" ht="15.75" hidden="1" customHeight="1" x14ac:dyDescent="0.3"/>
    <row r="961" ht="15.75" hidden="1" customHeight="1" x14ac:dyDescent="0.3"/>
    <row r="962" ht="15.75" hidden="1" customHeight="1" x14ac:dyDescent="0.3"/>
    <row r="963" ht="15.75" hidden="1" customHeight="1" x14ac:dyDescent="0.3"/>
    <row r="964" ht="15.75" hidden="1" customHeight="1" x14ac:dyDescent="0.3"/>
    <row r="965" ht="15.75" hidden="1" customHeight="1" x14ac:dyDescent="0.3"/>
    <row r="966" ht="15.75" hidden="1" customHeight="1" x14ac:dyDescent="0.3"/>
    <row r="967" ht="15.75" hidden="1" customHeight="1" x14ac:dyDescent="0.3"/>
    <row r="968" ht="15.75" hidden="1" customHeight="1" x14ac:dyDescent="0.3"/>
    <row r="969" ht="15.75" hidden="1" customHeight="1" x14ac:dyDescent="0.3"/>
    <row r="970" ht="15.75" hidden="1" customHeight="1" x14ac:dyDescent="0.3"/>
    <row r="971" ht="15.75" hidden="1" customHeight="1" x14ac:dyDescent="0.3"/>
    <row r="972" ht="15.75" hidden="1" customHeight="1" x14ac:dyDescent="0.3"/>
    <row r="973" ht="15.75" hidden="1" customHeight="1" x14ac:dyDescent="0.3"/>
    <row r="974" ht="15.75" hidden="1" customHeight="1" x14ac:dyDescent="0.3"/>
    <row r="975" ht="15.75" hidden="1" customHeight="1" x14ac:dyDescent="0.3"/>
    <row r="976" ht="15.75" hidden="1" customHeight="1" x14ac:dyDescent="0.3"/>
    <row r="977" ht="15.75" hidden="1" customHeight="1" x14ac:dyDescent="0.3"/>
    <row r="978" ht="15.75" hidden="1" customHeight="1" x14ac:dyDescent="0.3"/>
    <row r="979" ht="15.75" hidden="1" customHeight="1" x14ac:dyDescent="0.3"/>
    <row r="980" ht="15.75" hidden="1" customHeight="1" x14ac:dyDescent="0.3"/>
    <row r="981" ht="15.75" hidden="1" customHeight="1" x14ac:dyDescent="0.3"/>
    <row r="982" ht="15.75" hidden="1" customHeight="1" x14ac:dyDescent="0.3"/>
    <row r="983" ht="15.75" hidden="1" customHeight="1" x14ac:dyDescent="0.3"/>
    <row r="984" ht="15.75" hidden="1" customHeight="1" x14ac:dyDescent="0.3"/>
    <row r="985" ht="15.75" hidden="1" customHeight="1" x14ac:dyDescent="0.3"/>
    <row r="986" ht="15.75" hidden="1" customHeight="1" x14ac:dyDescent="0.3"/>
    <row r="987" ht="15.75" hidden="1" customHeight="1" x14ac:dyDescent="0.3"/>
    <row r="988" ht="15.75" hidden="1" customHeight="1" x14ac:dyDescent="0.3"/>
    <row r="989" ht="15.75" hidden="1" customHeight="1" x14ac:dyDescent="0.3"/>
    <row r="990" ht="15.75" hidden="1" customHeight="1" x14ac:dyDescent="0.3"/>
    <row r="991" ht="15.75" hidden="1" customHeight="1" x14ac:dyDescent="0.3"/>
    <row r="992" ht="15.75" hidden="1" customHeight="1" x14ac:dyDescent="0.3"/>
    <row r="993" ht="15.75" hidden="1" customHeight="1" x14ac:dyDescent="0.3"/>
    <row r="994" ht="15.75" hidden="1" customHeight="1" x14ac:dyDescent="0.3"/>
    <row r="995" ht="15.75" hidden="1" customHeight="1" x14ac:dyDescent="0.3"/>
    <row r="996" ht="15.75" hidden="1" customHeight="1" x14ac:dyDescent="0.3"/>
    <row r="997" ht="15.75" hidden="1" customHeight="1" x14ac:dyDescent="0.3"/>
    <row r="998" ht="15.75" hidden="1" customHeight="1" x14ac:dyDescent="0.3"/>
    <row r="999" ht="15.75" hidden="1" customHeight="1" x14ac:dyDescent="0.3"/>
    <row r="1000" ht="15.75" hidden="1" customHeight="1" x14ac:dyDescent="0.3"/>
  </sheetData>
  <mergeCells count="12">
    <mergeCell ref="A48:F48"/>
    <mergeCell ref="A1:F1"/>
    <mergeCell ref="A4:F5"/>
    <mergeCell ref="A6:F6"/>
    <mergeCell ref="J9:K9"/>
    <mergeCell ref="A23:F23"/>
    <mergeCell ref="A27:F27"/>
    <mergeCell ref="A33:F33"/>
    <mergeCell ref="A34:F34"/>
    <mergeCell ref="A37:F37"/>
    <mergeCell ref="A42:F42"/>
    <mergeCell ref="A45:F45"/>
  </mergeCells>
  <dataValidations count="2">
    <dataValidation type="list" allowBlank="1" showErrorMessage="1" sqref="J8" xr:uid="{640843A7-76F6-481D-89AE-E68365FEA298}">
      <formula1>#REF!</formula1>
    </dataValidation>
    <dataValidation type="decimal" allowBlank="1" showErrorMessage="1" sqref="D2" xr:uid="{0EB36C16-B6B8-4E41-9C95-A446E2BBCBDD}">
      <formula1>0</formula1>
      <formula2>10000000000000</formula2>
    </dataValidation>
  </dataValidations>
  <pageMargins left="0.7" right="0.7" top="0.75" bottom="0.75" header="0" footer="0"/>
  <pageSetup paperSize="9" fitToHeight="0" orientation="portrait"/>
  <legacyDrawing r:id="rId1"/>
  <extLst>
    <ext xmlns:x14="http://schemas.microsoft.com/office/spreadsheetml/2009/9/main" uri="{CCE6A557-97BC-4b89-ADB6-D9C93CAAB3DF}">
      <x14:dataValidations xmlns:xm="http://schemas.microsoft.com/office/excel/2006/main" count="6">
        <x14:dataValidation type="list" allowBlank="1" showErrorMessage="1" xr:uid="{D00EB654-1558-4DCD-B7E9-2FD432A53334}">
          <x14:formula1>
            <xm:f>Listas!$G$2:$G$3</xm:f>
          </x14:formula1>
          <xm:sqref>B9:B12 B16:B22 B24 B29:B32 B46:B47 B64</xm:sqref>
        </x14:dataValidation>
        <x14:dataValidation type="list" allowBlank="1" showErrorMessage="1" xr:uid="{1EF68C3E-175F-4808-83A9-587E92949AF3}">
          <x14:formula1>
            <xm:f>Listas!$I$2:$I$3</xm:f>
          </x14:formula1>
          <xm:sqref>D3</xm:sqref>
        </x14:dataValidation>
        <x14:dataValidation type="list" allowBlank="1" showErrorMessage="1" xr:uid="{822AE14B-48C3-45C5-A7E4-57DAFD9C0B12}">
          <x14:formula1>
            <xm:f>Listas!$E$2:$E$3</xm:f>
          </x14:formula1>
          <xm:sqref>B3</xm:sqref>
        </x14:dataValidation>
        <x14:dataValidation type="list" allowBlank="1" showErrorMessage="1" xr:uid="{E50125D9-1960-4B90-9375-33A63B16EDB2}">
          <x14:formula1>
            <xm:f>Listas!$A$2:$A$6</xm:f>
          </x14:formula1>
          <xm:sqref>B2 C56</xm:sqref>
        </x14:dataValidation>
        <x14:dataValidation type="list" allowBlank="1" showErrorMessage="1" xr:uid="{1ADD6C84-F1BD-49D4-BD03-E245E681DE5E}">
          <x14:formula1>
            <xm:f>Listas!$M$2:$M$5</xm:f>
          </x14:formula1>
          <xm:sqref>B14:B15</xm:sqref>
        </x14:dataValidation>
        <x14:dataValidation type="list" allowBlank="1" showErrorMessage="1" xr:uid="{81BCF25A-CC1E-4330-BE59-8FAE79837EEA}">
          <x14:formula1>
            <xm:f>Listas!$C$2:$C$9</xm:f>
          </x14:formula1>
          <xm:sqref>C57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0"/>
  <dimension ref="A1:D958"/>
  <sheetViews>
    <sheetView topLeftCell="A29" workbookViewId="0">
      <selection activeCell="B37" sqref="B37"/>
    </sheetView>
  </sheetViews>
  <sheetFormatPr baseColWidth="10" defaultColWidth="14.44140625" defaultRowHeight="15" customHeight="1" x14ac:dyDescent="0.3"/>
  <cols>
    <col min="1" max="1" width="26.6640625" customWidth="1"/>
    <col min="2" max="2" width="64" customWidth="1"/>
    <col min="3" max="3" width="93.88671875" customWidth="1"/>
    <col min="4" max="4" width="40.33203125" customWidth="1"/>
    <col min="5" max="6" width="10.6640625" customWidth="1"/>
  </cols>
  <sheetData>
    <row r="1" spans="1:4" ht="14.25" customHeight="1" thickBot="1" x14ac:dyDescent="0.35">
      <c r="A1" s="121" t="s">
        <v>161</v>
      </c>
      <c r="B1" s="122" t="s">
        <v>162</v>
      </c>
      <c r="C1" s="123" t="s">
        <v>163</v>
      </c>
      <c r="D1" s="499" t="s">
        <v>163</v>
      </c>
    </row>
    <row r="2" spans="1:4" ht="14.25" customHeight="1" thickBot="1" x14ac:dyDescent="0.35">
      <c r="A2" s="383" t="s">
        <v>164</v>
      </c>
      <c r="B2" s="384"/>
      <c r="C2" s="422"/>
      <c r="D2" s="500"/>
    </row>
    <row r="3" spans="1:4" ht="14.25" customHeight="1" x14ac:dyDescent="0.3">
      <c r="A3" s="124" t="s">
        <v>165</v>
      </c>
      <c r="B3" s="125" t="s">
        <v>891</v>
      </c>
      <c r="C3" s="493" t="s">
        <v>166</v>
      </c>
      <c r="D3" s="501"/>
    </row>
    <row r="4" spans="1:4" ht="33.75" customHeight="1" x14ac:dyDescent="0.3">
      <c r="A4" s="126" t="s">
        <v>8</v>
      </c>
      <c r="B4" s="127"/>
      <c r="C4" s="494" t="s">
        <v>167</v>
      </c>
      <c r="D4" s="501"/>
    </row>
    <row r="5" spans="1:4" ht="23.25" customHeight="1" x14ac:dyDescent="0.3">
      <c r="A5" s="126" t="s">
        <v>168</v>
      </c>
      <c r="B5" s="127"/>
      <c r="C5" s="494" t="s">
        <v>169</v>
      </c>
      <c r="D5" s="501"/>
    </row>
    <row r="6" spans="1:4" ht="26.4" x14ac:dyDescent="0.3">
      <c r="A6" s="126" t="s">
        <v>918</v>
      </c>
      <c r="B6" s="127"/>
      <c r="C6" s="494" t="s">
        <v>170</v>
      </c>
      <c r="D6" s="501"/>
    </row>
    <row r="7" spans="1:4" ht="26.25" customHeight="1" x14ac:dyDescent="0.3">
      <c r="A7" s="126" t="s">
        <v>171</v>
      </c>
      <c r="B7" s="127"/>
      <c r="C7" s="494" t="s">
        <v>172</v>
      </c>
      <c r="D7" s="501"/>
    </row>
    <row r="8" spans="1:4" ht="14.25" customHeight="1" x14ac:dyDescent="0.3">
      <c r="A8" s="126" t="s">
        <v>173</v>
      </c>
      <c r="B8" s="127"/>
      <c r="C8" s="494" t="s">
        <v>174</v>
      </c>
      <c r="D8" s="501"/>
    </row>
    <row r="9" spans="1:4" ht="14.25" customHeight="1" x14ac:dyDescent="0.3">
      <c r="A9" s="126" t="s">
        <v>175</v>
      </c>
      <c r="B9" s="127"/>
      <c r="C9" s="494" t="s">
        <v>176</v>
      </c>
      <c r="D9" s="501"/>
    </row>
    <row r="10" spans="1:4" ht="14.25" customHeight="1" x14ac:dyDescent="0.3">
      <c r="A10" s="126" t="s">
        <v>177</v>
      </c>
      <c r="B10" s="127"/>
      <c r="C10" s="494" t="s">
        <v>178</v>
      </c>
      <c r="D10" s="501"/>
    </row>
    <row r="11" spans="1:4" ht="14.25" customHeight="1" x14ac:dyDescent="0.3">
      <c r="A11" s="126" t="s">
        <v>179</v>
      </c>
      <c r="B11" s="127"/>
      <c r="C11" s="494" t="s">
        <v>180</v>
      </c>
      <c r="D11" s="501"/>
    </row>
    <row r="12" spans="1:4" ht="26.4" x14ac:dyDescent="0.3">
      <c r="A12" s="126" t="s">
        <v>925</v>
      </c>
      <c r="B12" s="127"/>
      <c r="C12" s="494" t="s">
        <v>926</v>
      </c>
      <c r="D12" s="501"/>
    </row>
    <row r="13" spans="1:4" ht="27.6" customHeight="1" x14ac:dyDescent="0.3">
      <c r="A13" s="126" t="s">
        <v>181</v>
      </c>
      <c r="B13" s="127" t="s">
        <v>985</v>
      </c>
      <c r="C13" s="494" t="s">
        <v>182</v>
      </c>
      <c r="D13" s="501"/>
    </row>
    <row r="14" spans="1:4" ht="43.2" customHeight="1" x14ac:dyDescent="0.3">
      <c r="A14" s="126" t="s">
        <v>929</v>
      </c>
      <c r="B14" s="127"/>
      <c r="C14" s="494" t="s">
        <v>183</v>
      </c>
      <c r="D14" s="502" t="s">
        <v>930</v>
      </c>
    </row>
    <row r="15" spans="1:4" ht="27" thickBot="1" x14ac:dyDescent="0.35">
      <c r="A15" s="128" t="s">
        <v>940</v>
      </c>
      <c r="B15" s="129"/>
      <c r="C15" s="495" t="s">
        <v>184</v>
      </c>
      <c r="D15" s="501"/>
    </row>
    <row r="16" spans="1:4" ht="14.25" customHeight="1" thickBot="1" x14ac:dyDescent="0.35">
      <c r="A16" s="383" t="s">
        <v>185</v>
      </c>
      <c r="B16" s="384"/>
      <c r="C16" s="422"/>
      <c r="D16" s="501"/>
    </row>
    <row r="17" spans="1:4" ht="40.200000000000003" thickBot="1" x14ac:dyDescent="0.35">
      <c r="A17" s="124" t="s">
        <v>941</v>
      </c>
      <c r="B17" s="130" t="s">
        <v>984</v>
      </c>
      <c r="C17" s="495" t="s">
        <v>186</v>
      </c>
      <c r="D17" s="501"/>
    </row>
    <row r="18" spans="1:4" thickBot="1" x14ac:dyDescent="0.35">
      <c r="A18" s="126" t="s">
        <v>942</v>
      </c>
      <c r="B18" s="131"/>
      <c r="C18" s="495" t="s">
        <v>187</v>
      </c>
      <c r="D18" s="501"/>
    </row>
    <row r="19" spans="1:4" ht="40.200000000000003" thickBot="1" x14ac:dyDescent="0.35">
      <c r="A19" s="126" t="s">
        <v>943</v>
      </c>
      <c r="B19" s="131"/>
      <c r="C19" s="495" t="s">
        <v>188</v>
      </c>
      <c r="D19" s="501"/>
    </row>
    <row r="20" spans="1:4" ht="40.200000000000003" thickBot="1" x14ac:dyDescent="0.35">
      <c r="A20" s="126" t="s">
        <v>189</v>
      </c>
      <c r="B20" s="131"/>
      <c r="C20" s="495" t="s">
        <v>190</v>
      </c>
      <c r="D20" s="501"/>
    </row>
    <row r="21" spans="1:4" ht="40.200000000000003" thickBot="1" x14ac:dyDescent="0.35">
      <c r="A21" s="126" t="s">
        <v>191</v>
      </c>
      <c r="B21" s="131"/>
      <c r="C21" s="495" t="s">
        <v>192</v>
      </c>
      <c r="D21" s="501"/>
    </row>
    <row r="22" spans="1:4" ht="27" thickBot="1" x14ac:dyDescent="0.35">
      <c r="A22" s="126" t="s">
        <v>193</v>
      </c>
      <c r="B22" s="131"/>
      <c r="C22" s="495" t="s">
        <v>194</v>
      </c>
      <c r="D22" s="501"/>
    </row>
    <row r="23" spans="1:4" ht="27" thickBot="1" x14ac:dyDescent="0.35">
      <c r="A23" s="126" t="s">
        <v>195</v>
      </c>
      <c r="B23" s="131"/>
      <c r="C23" s="495" t="s">
        <v>196</v>
      </c>
      <c r="D23" s="501"/>
    </row>
    <row r="24" spans="1:4" ht="53.4" thickBot="1" x14ac:dyDescent="0.35">
      <c r="A24" s="126" t="s">
        <v>197</v>
      </c>
      <c r="B24" s="131"/>
      <c r="C24" s="495" t="s">
        <v>198</v>
      </c>
      <c r="D24" s="501"/>
    </row>
    <row r="25" spans="1:4" ht="53.4" thickBot="1" x14ac:dyDescent="0.35">
      <c r="A25" s="126" t="s">
        <v>199</v>
      </c>
      <c r="B25" s="131"/>
      <c r="C25" s="495" t="s">
        <v>200</v>
      </c>
      <c r="D25" s="501"/>
    </row>
    <row r="26" spans="1:4" ht="27" thickBot="1" x14ac:dyDescent="0.35">
      <c r="A26" s="126" t="s">
        <v>201</v>
      </c>
      <c r="B26" s="131"/>
      <c r="C26" s="495" t="s">
        <v>202</v>
      </c>
      <c r="D26" s="501"/>
    </row>
    <row r="27" spans="1:4" ht="53.4" thickBot="1" x14ac:dyDescent="0.35">
      <c r="A27" s="126" t="s">
        <v>203</v>
      </c>
      <c r="B27" s="131"/>
      <c r="C27" s="495" t="s">
        <v>204</v>
      </c>
      <c r="D27" s="501"/>
    </row>
    <row r="28" spans="1:4" ht="53.4" thickBot="1" x14ac:dyDescent="0.35">
      <c r="A28" s="126" t="s">
        <v>205</v>
      </c>
      <c r="B28" s="131"/>
      <c r="C28" s="495" t="s">
        <v>206</v>
      </c>
      <c r="D28" s="501"/>
    </row>
    <row r="29" spans="1:4" ht="66.599999999999994" thickBot="1" x14ac:dyDescent="0.35">
      <c r="A29" s="126" t="s">
        <v>207</v>
      </c>
      <c r="B29" s="131"/>
      <c r="C29" s="495" t="s">
        <v>208</v>
      </c>
      <c r="D29" s="501"/>
    </row>
    <row r="30" spans="1:4" ht="27" thickBot="1" x14ac:dyDescent="0.35">
      <c r="A30" s="126" t="s">
        <v>209</v>
      </c>
      <c r="B30" s="131"/>
      <c r="C30" s="495" t="s">
        <v>210</v>
      </c>
      <c r="D30" s="501"/>
    </row>
    <row r="31" spans="1:4" ht="40.200000000000003" thickBot="1" x14ac:dyDescent="0.35">
      <c r="A31" s="126" t="s">
        <v>211</v>
      </c>
      <c r="B31" s="131"/>
      <c r="C31" s="495" t="s">
        <v>212</v>
      </c>
      <c r="D31" s="501"/>
    </row>
    <row r="32" spans="1:4" ht="53.4" thickBot="1" x14ac:dyDescent="0.35">
      <c r="A32" s="126" t="s">
        <v>213</v>
      </c>
      <c r="B32" s="131"/>
      <c r="C32" s="495" t="s">
        <v>214</v>
      </c>
      <c r="D32" s="501"/>
    </row>
    <row r="33" spans="1:4" ht="93" thickBot="1" x14ac:dyDescent="0.35">
      <c r="A33" s="126" t="s">
        <v>215</v>
      </c>
      <c r="B33" s="131"/>
      <c r="C33" s="495" t="s">
        <v>216</v>
      </c>
      <c r="D33" s="501"/>
    </row>
    <row r="34" spans="1:4" ht="40.200000000000003" thickBot="1" x14ac:dyDescent="0.35">
      <c r="A34" s="128" t="s">
        <v>217</v>
      </c>
      <c r="B34" s="132" t="s">
        <v>986</v>
      </c>
      <c r="C34" s="495" t="s">
        <v>218</v>
      </c>
      <c r="D34" s="501"/>
    </row>
    <row r="35" spans="1:4" ht="14.25" customHeight="1" thickBot="1" x14ac:dyDescent="0.35">
      <c r="A35" s="383" t="s">
        <v>219</v>
      </c>
      <c r="B35" s="384"/>
      <c r="C35" s="422"/>
      <c r="D35" s="501"/>
    </row>
    <row r="36" spans="1:4" ht="15.75" customHeight="1" x14ac:dyDescent="0.3">
      <c r="A36" s="133" t="s">
        <v>220</v>
      </c>
      <c r="B36" s="125" t="s">
        <v>724</v>
      </c>
      <c r="C36" s="496" t="s">
        <v>221</v>
      </c>
      <c r="D36" s="501"/>
    </row>
    <row r="37" spans="1:4" ht="66" x14ac:dyDescent="0.3">
      <c r="A37" s="134" t="s">
        <v>222</v>
      </c>
      <c r="B37" s="127"/>
      <c r="C37" s="497" t="s">
        <v>223</v>
      </c>
      <c r="D37" s="501"/>
    </row>
    <row r="38" spans="1:4" ht="26.4" x14ac:dyDescent="0.3">
      <c r="A38" s="134" t="s">
        <v>224</v>
      </c>
      <c r="B38" s="127"/>
      <c r="C38" s="497" t="s">
        <v>225</v>
      </c>
      <c r="D38" s="501"/>
    </row>
    <row r="39" spans="1:4" ht="26.4" x14ac:dyDescent="0.3">
      <c r="A39" s="134" t="s">
        <v>226</v>
      </c>
      <c r="B39" s="127"/>
      <c r="C39" s="497" t="s">
        <v>227</v>
      </c>
      <c r="D39" s="501"/>
    </row>
    <row r="40" spans="1:4" ht="14.4" x14ac:dyDescent="0.3">
      <c r="A40" s="134" t="s">
        <v>228</v>
      </c>
      <c r="B40" s="127"/>
      <c r="C40" s="497" t="s">
        <v>229</v>
      </c>
      <c r="D40" s="501"/>
    </row>
    <row r="41" spans="1:4" thickBot="1" x14ac:dyDescent="0.35">
      <c r="A41" s="135" t="s">
        <v>230</v>
      </c>
      <c r="B41" s="129"/>
      <c r="C41" s="498" t="s">
        <v>231</v>
      </c>
      <c r="D41" s="503"/>
    </row>
    <row r="42" spans="1:4" ht="14.25" customHeight="1" x14ac:dyDescent="0.3"/>
    <row r="43" spans="1:4" ht="14.25" customHeight="1" x14ac:dyDescent="0.3"/>
    <row r="44" spans="1:4" ht="14.25" customHeight="1" x14ac:dyDescent="0.3"/>
    <row r="45" spans="1:4" ht="14.25" customHeight="1" x14ac:dyDescent="0.3"/>
    <row r="46" spans="1:4" ht="14.25" customHeight="1" x14ac:dyDescent="0.3"/>
    <row r="47" spans="1:4" ht="14.25" customHeight="1" x14ac:dyDescent="0.3"/>
    <row r="48" spans="1:4"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sheetData>
  <mergeCells count="3">
    <mergeCell ref="A2:C2"/>
    <mergeCell ref="A16:C16"/>
    <mergeCell ref="A35:C35"/>
  </mergeCells>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49"/>
  <dimension ref="A1:B1000"/>
  <sheetViews>
    <sheetView workbookViewId="0"/>
  </sheetViews>
  <sheetFormatPr baseColWidth="10" defaultColWidth="14.44140625" defaultRowHeight="15" customHeight="1" x14ac:dyDescent="0.3"/>
  <cols>
    <col min="1" max="1" width="27.5546875" customWidth="1"/>
    <col min="2" max="2" width="122.33203125" customWidth="1"/>
    <col min="3" max="6" width="10.6640625" customWidth="1"/>
  </cols>
  <sheetData>
    <row r="1" spans="1:2" ht="14.25" customHeight="1" x14ac:dyDescent="0.3">
      <c r="A1" s="136" t="s">
        <v>232</v>
      </c>
      <c r="B1" s="136" t="s">
        <v>233</v>
      </c>
    </row>
    <row r="2" spans="1:2" ht="14.25" customHeight="1" x14ac:dyDescent="0.3">
      <c r="A2" s="25" t="s">
        <v>234</v>
      </c>
      <c r="B2" s="25">
        <f>Interfaz!B67</f>
        <v>0</v>
      </c>
    </row>
    <row r="3" spans="1:2" ht="14.25" customHeight="1" x14ac:dyDescent="0.3"/>
    <row r="4" spans="1:2" ht="14.25" customHeight="1" x14ac:dyDescent="0.3"/>
    <row r="5" spans="1:2" ht="14.25" customHeight="1" x14ac:dyDescent="0.3"/>
    <row r="6" spans="1:2" ht="14.25" customHeight="1" x14ac:dyDescent="0.3"/>
    <row r="7" spans="1:2" ht="14.25" customHeight="1" x14ac:dyDescent="0.3"/>
    <row r="8" spans="1:2" ht="14.25" customHeight="1" x14ac:dyDescent="0.3">
      <c r="B8" s="118"/>
    </row>
    <row r="9" spans="1:2" ht="14.25" customHeight="1" x14ac:dyDescent="0.3"/>
    <row r="10" spans="1:2" ht="14.25" customHeight="1" x14ac:dyDescent="0.3"/>
    <row r="11" spans="1:2" ht="14.25" customHeight="1" x14ac:dyDescent="0.3"/>
    <row r="12" spans="1:2" ht="14.25" customHeight="1" x14ac:dyDescent="0.3"/>
    <row r="13" spans="1:2" ht="14.25" customHeight="1" x14ac:dyDescent="0.3"/>
    <row r="14" spans="1:2" ht="14.25" customHeight="1" x14ac:dyDescent="0.3"/>
    <row r="15" spans="1:2" ht="14.25" customHeight="1" x14ac:dyDescent="0.3"/>
    <row r="16" spans="1:2"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45"/>
  <dimension ref="A1:A1000"/>
  <sheetViews>
    <sheetView workbookViewId="0"/>
  </sheetViews>
  <sheetFormatPr baseColWidth="10" defaultColWidth="14.44140625" defaultRowHeight="15" customHeight="1" x14ac:dyDescent="0.3"/>
  <cols>
    <col min="1" max="26" width="10.6640625" customWidth="1"/>
  </cols>
  <sheetData>
    <row r="1" ht="14.25" customHeight="1" x14ac:dyDescent="0.3"/>
    <row r="2" ht="14.25" customHeight="1" x14ac:dyDescent="0.3"/>
    <row r="3" ht="14.25" customHeight="1" x14ac:dyDescent="0.3"/>
    <row r="4" ht="14.25" customHeight="1" x14ac:dyDescent="0.3"/>
    <row r="5" ht="14.25" customHeight="1" x14ac:dyDescent="0.3"/>
    <row r="6" ht="14.25" customHeight="1" x14ac:dyDescent="0.3"/>
    <row r="7" ht="14.25" customHeight="1" x14ac:dyDescent="0.3"/>
    <row r="8" ht="14.25" customHeight="1" x14ac:dyDescent="0.3"/>
    <row r="9" ht="14.25" customHeight="1" x14ac:dyDescent="0.3"/>
    <row r="10" ht="14.25" customHeight="1" x14ac:dyDescent="0.3"/>
    <row r="11" ht="14.25" customHeight="1" x14ac:dyDescent="0.3"/>
    <row r="12" ht="14.25" customHeight="1" x14ac:dyDescent="0.3"/>
    <row r="13" ht="14.25" customHeight="1" x14ac:dyDescent="0.3"/>
    <row r="14" ht="14.25" customHeight="1" x14ac:dyDescent="0.3"/>
    <row r="15" ht="14.25" customHeight="1" x14ac:dyDescent="0.3"/>
    <row r="16"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4.25" customHeight="1" x14ac:dyDescent="0.3"/>
    <row r="284" ht="14.25" customHeight="1" x14ac:dyDescent="0.3"/>
    <row r="285" ht="14.25" customHeight="1" x14ac:dyDescent="0.3"/>
    <row r="286" ht="14.25" customHeight="1" x14ac:dyDescent="0.3"/>
    <row r="287" ht="14.25" customHeight="1" x14ac:dyDescent="0.3"/>
    <row r="288" ht="14.25" customHeight="1" x14ac:dyDescent="0.3"/>
    <row r="289" ht="14.25" customHeight="1" x14ac:dyDescent="0.3"/>
    <row r="290" ht="14.25" customHeight="1" x14ac:dyDescent="0.3"/>
    <row r="291" ht="14.25" customHeight="1" x14ac:dyDescent="0.3"/>
    <row r="292" ht="14.25" customHeight="1" x14ac:dyDescent="0.3"/>
    <row r="293" ht="14.25" customHeight="1" x14ac:dyDescent="0.3"/>
    <row r="294" ht="14.25" customHeight="1" x14ac:dyDescent="0.3"/>
    <row r="295" ht="14.25" customHeight="1" x14ac:dyDescent="0.3"/>
    <row r="296" ht="14.25" customHeight="1" x14ac:dyDescent="0.3"/>
    <row r="297" ht="14.25" customHeight="1" x14ac:dyDescent="0.3"/>
    <row r="298" ht="14.25" customHeight="1" x14ac:dyDescent="0.3"/>
    <row r="299" ht="14.25" customHeight="1" x14ac:dyDescent="0.3"/>
    <row r="300" ht="14.25" customHeight="1" x14ac:dyDescent="0.3"/>
    <row r="301" ht="14.25" customHeight="1" x14ac:dyDescent="0.3"/>
    <row r="302" ht="14.25" customHeight="1" x14ac:dyDescent="0.3"/>
    <row r="303" ht="14.25" customHeight="1" x14ac:dyDescent="0.3"/>
    <row r="304" ht="14.25" customHeight="1" x14ac:dyDescent="0.3"/>
    <row r="305" ht="14.25" customHeight="1" x14ac:dyDescent="0.3"/>
    <row r="306" ht="14.25" customHeight="1" x14ac:dyDescent="0.3"/>
    <row r="307" ht="14.25" customHeight="1" x14ac:dyDescent="0.3"/>
    <row r="308" ht="14.25" customHeight="1" x14ac:dyDescent="0.3"/>
    <row r="309" ht="14.25" customHeight="1" x14ac:dyDescent="0.3"/>
    <row r="310" ht="14.25" customHeight="1" x14ac:dyDescent="0.3"/>
    <row r="311" ht="14.25" customHeight="1" x14ac:dyDescent="0.3"/>
    <row r="312" ht="14.25" customHeight="1" x14ac:dyDescent="0.3"/>
    <row r="313" ht="14.25" customHeight="1" x14ac:dyDescent="0.3"/>
    <row r="314" ht="14.25" customHeight="1" x14ac:dyDescent="0.3"/>
    <row r="315" ht="14.25" customHeight="1" x14ac:dyDescent="0.3"/>
    <row r="316" ht="14.25" customHeight="1" x14ac:dyDescent="0.3"/>
    <row r="317" ht="14.25" customHeight="1" x14ac:dyDescent="0.3"/>
    <row r="318" ht="14.25" customHeight="1" x14ac:dyDescent="0.3"/>
    <row r="319" ht="14.25" customHeight="1" x14ac:dyDescent="0.3"/>
    <row r="320" ht="14.25" customHeight="1" x14ac:dyDescent="0.3"/>
    <row r="321" ht="14.25" customHeight="1" x14ac:dyDescent="0.3"/>
    <row r="322" ht="14.25" customHeight="1" x14ac:dyDescent="0.3"/>
    <row r="323" ht="14.25" customHeight="1" x14ac:dyDescent="0.3"/>
    <row r="324" ht="14.25" customHeight="1" x14ac:dyDescent="0.3"/>
    <row r="325" ht="14.25" customHeight="1" x14ac:dyDescent="0.3"/>
    <row r="326" ht="14.25" customHeight="1" x14ac:dyDescent="0.3"/>
    <row r="327" ht="14.25" customHeight="1" x14ac:dyDescent="0.3"/>
    <row r="328" ht="14.25" customHeight="1" x14ac:dyDescent="0.3"/>
    <row r="329" ht="14.25" customHeight="1" x14ac:dyDescent="0.3"/>
    <row r="330" ht="14.25" customHeight="1" x14ac:dyDescent="0.3"/>
    <row r="331" ht="14.25" customHeight="1" x14ac:dyDescent="0.3"/>
    <row r="332" ht="14.25" customHeight="1" x14ac:dyDescent="0.3"/>
    <row r="333" ht="14.25" customHeight="1" x14ac:dyDescent="0.3"/>
    <row r="334" ht="14.25" customHeight="1" x14ac:dyDescent="0.3"/>
    <row r="335" ht="14.25" customHeight="1" x14ac:dyDescent="0.3"/>
    <row r="336" ht="14.25" customHeight="1" x14ac:dyDescent="0.3"/>
    <row r="337" ht="14.25" customHeight="1" x14ac:dyDescent="0.3"/>
    <row r="338" ht="14.25" customHeight="1" x14ac:dyDescent="0.3"/>
    <row r="339" ht="14.25" customHeight="1" x14ac:dyDescent="0.3"/>
    <row r="340" ht="14.25" customHeight="1" x14ac:dyDescent="0.3"/>
    <row r="341" ht="14.25" customHeight="1" x14ac:dyDescent="0.3"/>
    <row r="342" ht="14.25" customHeight="1" x14ac:dyDescent="0.3"/>
    <row r="343" ht="14.25" customHeight="1" x14ac:dyDescent="0.3"/>
    <row r="344" ht="14.25" customHeight="1" x14ac:dyDescent="0.3"/>
    <row r="345" ht="14.25" customHeight="1" x14ac:dyDescent="0.3"/>
    <row r="346" ht="14.25" customHeight="1" x14ac:dyDescent="0.3"/>
    <row r="347" ht="14.25" customHeight="1" x14ac:dyDescent="0.3"/>
    <row r="348" ht="14.25" customHeight="1" x14ac:dyDescent="0.3"/>
    <row r="349" ht="14.25" customHeight="1" x14ac:dyDescent="0.3"/>
    <row r="350" ht="14.25" customHeight="1" x14ac:dyDescent="0.3"/>
    <row r="351" ht="14.25" customHeight="1" x14ac:dyDescent="0.3"/>
    <row r="352" ht="14.25" customHeight="1" x14ac:dyDescent="0.3"/>
    <row r="353" ht="14.25" customHeight="1" x14ac:dyDescent="0.3"/>
    <row r="354" ht="14.25" customHeight="1" x14ac:dyDescent="0.3"/>
    <row r="355" ht="14.25" customHeight="1" x14ac:dyDescent="0.3"/>
    <row r="356" ht="14.25" customHeight="1" x14ac:dyDescent="0.3"/>
    <row r="357" ht="14.25" customHeight="1" x14ac:dyDescent="0.3"/>
    <row r="358" ht="14.25" customHeight="1" x14ac:dyDescent="0.3"/>
    <row r="359" ht="14.25" customHeight="1" x14ac:dyDescent="0.3"/>
    <row r="360" ht="14.25" customHeight="1" x14ac:dyDescent="0.3"/>
    <row r="361" ht="14.25" customHeight="1" x14ac:dyDescent="0.3"/>
    <row r="362" ht="14.25" customHeight="1" x14ac:dyDescent="0.3"/>
    <row r="363" ht="14.25" customHeight="1" x14ac:dyDescent="0.3"/>
    <row r="364" ht="14.25" customHeight="1" x14ac:dyDescent="0.3"/>
    <row r="365" ht="14.25" customHeight="1" x14ac:dyDescent="0.3"/>
    <row r="366" ht="14.25" customHeight="1" x14ac:dyDescent="0.3"/>
    <row r="367" ht="14.25" customHeight="1" x14ac:dyDescent="0.3"/>
    <row r="368" ht="14.25" customHeight="1" x14ac:dyDescent="0.3"/>
    <row r="369" ht="14.25" customHeight="1" x14ac:dyDescent="0.3"/>
    <row r="370" ht="14.25" customHeight="1" x14ac:dyDescent="0.3"/>
    <row r="371" ht="14.25" customHeight="1" x14ac:dyDescent="0.3"/>
    <row r="372" ht="14.25" customHeight="1" x14ac:dyDescent="0.3"/>
    <row r="373" ht="14.25" customHeight="1" x14ac:dyDescent="0.3"/>
    <row r="374" ht="14.25" customHeight="1" x14ac:dyDescent="0.3"/>
    <row r="375" ht="14.25" customHeight="1" x14ac:dyDescent="0.3"/>
    <row r="376" ht="14.25" customHeight="1" x14ac:dyDescent="0.3"/>
    <row r="377" ht="14.25" customHeight="1" x14ac:dyDescent="0.3"/>
    <row r="378" ht="14.25" customHeight="1" x14ac:dyDescent="0.3"/>
    <row r="379" ht="14.25" customHeight="1" x14ac:dyDescent="0.3"/>
    <row r="380" ht="14.25" customHeight="1" x14ac:dyDescent="0.3"/>
    <row r="381" ht="14.25" customHeight="1" x14ac:dyDescent="0.3"/>
    <row r="382" ht="14.25" customHeight="1" x14ac:dyDescent="0.3"/>
    <row r="383" ht="14.25" customHeight="1" x14ac:dyDescent="0.3"/>
    <row r="384" ht="14.25" customHeight="1" x14ac:dyDescent="0.3"/>
    <row r="385" ht="14.25" customHeight="1" x14ac:dyDescent="0.3"/>
    <row r="386" ht="14.25" customHeight="1" x14ac:dyDescent="0.3"/>
    <row r="387" ht="14.25" customHeight="1" x14ac:dyDescent="0.3"/>
    <row r="388" ht="14.25" customHeight="1" x14ac:dyDescent="0.3"/>
    <row r="389" ht="14.25" customHeight="1" x14ac:dyDescent="0.3"/>
    <row r="390" ht="14.25" customHeight="1" x14ac:dyDescent="0.3"/>
    <row r="391" ht="14.25" customHeight="1" x14ac:dyDescent="0.3"/>
    <row r="392" ht="14.25" customHeight="1" x14ac:dyDescent="0.3"/>
    <row r="393" ht="14.25" customHeight="1" x14ac:dyDescent="0.3"/>
    <row r="394" ht="14.25" customHeight="1" x14ac:dyDescent="0.3"/>
    <row r="395" ht="14.25" customHeight="1" x14ac:dyDescent="0.3"/>
    <row r="396" ht="14.25" customHeight="1" x14ac:dyDescent="0.3"/>
    <row r="397" ht="14.25" customHeight="1" x14ac:dyDescent="0.3"/>
    <row r="398" ht="14.25" customHeight="1" x14ac:dyDescent="0.3"/>
    <row r="399" ht="14.25" customHeight="1" x14ac:dyDescent="0.3"/>
    <row r="400" ht="14.25" customHeight="1" x14ac:dyDescent="0.3"/>
    <row r="401" ht="14.25" customHeight="1" x14ac:dyDescent="0.3"/>
    <row r="402" ht="14.25" customHeight="1" x14ac:dyDescent="0.3"/>
    <row r="403" ht="14.25" customHeight="1" x14ac:dyDescent="0.3"/>
    <row r="404" ht="14.25" customHeight="1" x14ac:dyDescent="0.3"/>
    <row r="405" ht="14.25" customHeight="1" x14ac:dyDescent="0.3"/>
    <row r="406" ht="14.25" customHeight="1" x14ac:dyDescent="0.3"/>
    <row r="407" ht="14.25" customHeight="1" x14ac:dyDescent="0.3"/>
    <row r="408" ht="14.25" customHeight="1" x14ac:dyDescent="0.3"/>
    <row r="409" ht="14.25" customHeight="1" x14ac:dyDescent="0.3"/>
    <row r="410" ht="14.25" customHeight="1" x14ac:dyDescent="0.3"/>
    <row r="411" ht="14.25" customHeight="1" x14ac:dyDescent="0.3"/>
    <row r="412" ht="14.25" customHeight="1" x14ac:dyDescent="0.3"/>
    <row r="413" ht="14.25" customHeight="1" x14ac:dyDescent="0.3"/>
    <row r="414" ht="14.25" customHeight="1" x14ac:dyDescent="0.3"/>
    <row r="415" ht="14.25" customHeight="1" x14ac:dyDescent="0.3"/>
    <row r="416" ht="14.25" customHeight="1" x14ac:dyDescent="0.3"/>
    <row r="417" ht="14.25" customHeight="1" x14ac:dyDescent="0.3"/>
    <row r="418" ht="14.25" customHeight="1" x14ac:dyDescent="0.3"/>
    <row r="419" ht="14.25" customHeight="1" x14ac:dyDescent="0.3"/>
    <row r="420" ht="14.25" customHeight="1" x14ac:dyDescent="0.3"/>
    <row r="421" ht="14.25" customHeight="1" x14ac:dyDescent="0.3"/>
    <row r="422" ht="14.25" customHeight="1" x14ac:dyDescent="0.3"/>
    <row r="423" ht="14.25" customHeight="1" x14ac:dyDescent="0.3"/>
    <row r="424" ht="14.25" customHeight="1" x14ac:dyDescent="0.3"/>
    <row r="425" ht="14.25" customHeight="1" x14ac:dyDescent="0.3"/>
    <row r="426" ht="14.25" customHeight="1" x14ac:dyDescent="0.3"/>
    <row r="427" ht="14.25" customHeight="1" x14ac:dyDescent="0.3"/>
    <row r="428" ht="14.25" customHeight="1" x14ac:dyDescent="0.3"/>
    <row r="429" ht="14.25" customHeight="1" x14ac:dyDescent="0.3"/>
    <row r="430" ht="14.25" customHeight="1" x14ac:dyDescent="0.3"/>
    <row r="431" ht="14.25" customHeight="1" x14ac:dyDescent="0.3"/>
    <row r="432" ht="14.25" customHeight="1" x14ac:dyDescent="0.3"/>
    <row r="433" ht="14.25" customHeight="1" x14ac:dyDescent="0.3"/>
    <row r="434" ht="14.25" customHeight="1" x14ac:dyDescent="0.3"/>
    <row r="435" ht="14.25" customHeight="1" x14ac:dyDescent="0.3"/>
    <row r="436" ht="14.25" customHeight="1" x14ac:dyDescent="0.3"/>
    <row r="437" ht="14.25" customHeight="1" x14ac:dyDescent="0.3"/>
    <row r="438" ht="14.25" customHeight="1" x14ac:dyDescent="0.3"/>
    <row r="439" ht="14.25" customHeight="1" x14ac:dyDescent="0.3"/>
    <row r="440" ht="14.25" customHeight="1" x14ac:dyDescent="0.3"/>
    <row r="441" ht="14.25" customHeight="1" x14ac:dyDescent="0.3"/>
    <row r="442" ht="14.25" customHeight="1" x14ac:dyDescent="0.3"/>
    <row r="443" ht="14.25" customHeight="1" x14ac:dyDescent="0.3"/>
    <row r="444" ht="14.25" customHeight="1" x14ac:dyDescent="0.3"/>
    <row r="445" ht="14.25" customHeight="1" x14ac:dyDescent="0.3"/>
    <row r="446" ht="14.25" customHeight="1" x14ac:dyDescent="0.3"/>
    <row r="447" ht="14.25" customHeight="1" x14ac:dyDescent="0.3"/>
    <row r="448" ht="14.25" customHeight="1" x14ac:dyDescent="0.3"/>
    <row r="449" ht="14.25" customHeight="1" x14ac:dyDescent="0.3"/>
    <row r="450" ht="14.25" customHeight="1" x14ac:dyDescent="0.3"/>
    <row r="451" ht="14.25" customHeight="1" x14ac:dyDescent="0.3"/>
    <row r="452" ht="14.25" customHeight="1" x14ac:dyDescent="0.3"/>
    <row r="453" ht="14.25" customHeight="1" x14ac:dyDescent="0.3"/>
    <row r="454" ht="14.25" customHeight="1" x14ac:dyDescent="0.3"/>
    <row r="455" ht="14.25" customHeight="1" x14ac:dyDescent="0.3"/>
    <row r="456" ht="14.25" customHeight="1" x14ac:dyDescent="0.3"/>
    <row r="457" ht="14.25" customHeight="1" x14ac:dyDescent="0.3"/>
    <row r="458" ht="14.25" customHeight="1" x14ac:dyDescent="0.3"/>
    <row r="459" ht="14.25" customHeight="1" x14ac:dyDescent="0.3"/>
    <row r="460" ht="14.25" customHeight="1" x14ac:dyDescent="0.3"/>
    <row r="461" ht="14.25" customHeight="1" x14ac:dyDescent="0.3"/>
    <row r="462" ht="14.25" customHeight="1" x14ac:dyDescent="0.3"/>
    <row r="463" ht="14.25" customHeight="1" x14ac:dyDescent="0.3"/>
    <row r="464" ht="14.25" customHeight="1" x14ac:dyDescent="0.3"/>
    <row r="465" ht="14.25" customHeight="1" x14ac:dyDescent="0.3"/>
    <row r="466" ht="14.25" customHeight="1" x14ac:dyDescent="0.3"/>
    <row r="467" ht="14.25" customHeight="1" x14ac:dyDescent="0.3"/>
    <row r="468" ht="14.25" customHeight="1" x14ac:dyDescent="0.3"/>
    <row r="469" ht="14.25" customHeight="1" x14ac:dyDescent="0.3"/>
    <row r="470" ht="14.25" customHeight="1" x14ac:dyDescent="0.3"/>
    <row r="471" ht="14.25" customHeight="1" x14ac:dyDescent="0.3"/>
    <row r="472" ht="14.25" customHeight="1" x14ac:dyDescent="0.3"/>
    <row r="473" ht="14.25" customHeight="1" x14ac:dyDescent="0.3"/>
    <row r="474" ht="14.25" customHeight="1" x14ac:dyDescent="0.3"/>
    <row r="475" ht="14.25" customHeight="1" x14ac:dyDescent="0.3"/>
    <row r="476" ht="14.25" customHeight="1" x14ac:dyDescent="0.3"/>
    <row r="477" ht="14.25" customHeight="1" x14ac:dyDescent="0.3"/>
    <row r="478" ht="14.25" customHeight="1" x14ac:dyDescent="0.3"/>
    <row r="479" ht="14.25" customHeight="1" x14ac:dyDescent="0.3"/>
    <row r="480" ht="14.25" customHeight="1" x14ac:dyDescent="0.3"/>
    <row r="481" ht="14.25" customHeight="1" x14ac:dyDescent="0.3"/>
    <row r="482" ht="14.25" customHeight="1" x14ac:dyDescent="0.3"/>
    <row r="483" ht="14.25" customHeight="1" x14ac:dyDescent="0.3"/>
    <row r="484" ht="14.25" customHeight="1" x14ac:dyDescent="0.3"/>
    <row r="485" ht="14.25" customHeight="1" x14ac:dyDescent="0.3"/>
    <row r="486" ht="14.25" customHeight="1" x14ac:dyDescent="0.3"/>
    <row r="487" ht="14.25" customHeight="1" x14ac:dyDescent="0.3"/>
    <row r="488" ht="14.25" customHeight="1" x14ac:dyDescent="0.3"/>
    <row r="489" ht="14.25" customHeight="1" x14ac:dyDescent="0.3"/>
    <row r="490" ht="14.25" customHeight="1" x14ac:dyDescent="0.3"/>
    <row r="491" ht="14.25" customHeight="1" x14ac:dyDescent="0.3"/>
    <row r="492" ht="14.25" customHeight="1" x14ac:dyDescent="0.3"/>
    <row r="493" ht="14.25" customHeight="1" x14ac:dyDescent="0.3"/>
    <row r="494" ht="14.25" customHeight="1" x14ac:dyDescent="0.3"/>
    <row r="495" ht="14.25" customHeight="1" x14ac:dyDescent="0.3"/>
    <row r="496" ht="14.25" customHeight="1" x14ac:dyDescent="0.3"/>
    <row r="497" ht="14.25" customHeight="1" x14ac:dyDescent="0.3"/>
    <row r="498" ht="14.25" customHeight="1" x14ac:dyDescent="0.3"/>
    <row r="499" ht="14.25" customHeight="1" x14ac:dyDescent="0.3"/>
    <row r="500" ht="14.25" customHeight="1" x14ac:dyDescent="0.3"/>
    <row r="501" ht="14.25" customHeight="1" x14ac:dyDescent="0.3"/>
    <row r="502" ht="14.25" customHeight="1" x14ac:dyDescent="0.3"/>
    <row r="503" ht="14.25" customHeight="1" x14ac:dyDescent="0.3"/>
    <row r="504" ht="14.25" customHeight="1" x14ac:dyDescent="0.3"/>
    <row r="505" ht="14.25" customHeight="1" x14ac:dyDescent="0.3"/>
    <row r="506" ht="14.25" customHeight="1" x14ac:dyDescent="0.3"/>
    <row r="507" ht="14.25" customHeight="1" x14ac:dyDescent="0.3"/>
    <row r="508" ht="14.25" customHeight="1" x14ac:dyDescent="0.3"/>
    <row r="509" ht="14.25" customHeight="1" x14ac:dyDescent="0.3"/>
    <row r="510" ht="14.25" customHeight="1" x14ac:dyDescent="0.3"/>
    <row r="511" ht="14.25" customHeight="1" x14ac:dyDescent="0.3"/>
    <row r="512" ht="14.25" customHeight="1" x14ac:dyDescent="0.3"/>
    <row r="513" ht="14.25" customHeight="1" x14ac:dyDescent="0.3"/>
    <row r="514" ht="14.25" customHeight="1" x14ac:dyDescent="0.3"/>
    <row r="515" ht="14.25" customHeight="1" x14ac:dyDescent="0.3"/>
    <row r="516" ht="14.25" customHeight="1" x14ac:dyDescent="0.3"/>
    <row r="517" ht="14.25" customHeight="1" x14ac:dyDescent="0.3"/>
    <row r="518" ht="14.25" customHeight="1" x14ac:dyDescent="0.3"/>
    <row r="519" ht="14.25" customHeight="1" x14ac:dyDescent="0.3"/>
    <row r="520" ht="14.25" customHeight="1" x14ac:dyDescent="0.3"/>
    <row r="521" ht="14.25" customHeight="1" x14ac:dyDescent="0.3"/>
    <row r="522" ht="14.25" customHeight="1" x14ac:dyDescent="0.3"/>
    <row r="523" ht="14.25" customHeight="1" x14ac:dyDescent="0.3"/>
    <row r="524" ht="14.25" customHeight="1" x14ac:dyDescent="0.3"/>
    <row r="525" ht="14.25" customHeight="1" x14ac:dyDescent="0.3"/>
    <row r="526" ht="14.25" customHeight="1" x14ac:dyDescent="0.3"/>
    <row r="527" ht="14.25" customHeight="1" x14ac:dyDescent="0.3"/>
    <row r="528" ht="14.25" customHeight="1" x14ac:dyDescent="0.3"/>
    <row r="529" ht="14.25" customHeight="1" x14ac:dyDescent="0.3"/>
    <row r="530" ht="14.25" customHeight="1" x14ac:dyDescent="0.3"/>
    <row r="531" ht="14.25" customHeight="1" x14ac:dyDescent="0.3"/>
    <row r="532" ht="14.25" customHeight="1" x14ac:dyDescent="0.3"/>
    <row r="533" ht="14.25" customHeight="1" x14ac:dyDescent="0.3"/>
    <row r="534" ht="14.25" customHeight="1" x14ac:dyDescent="0.3"/>
    <row r="535" ht="14.25" customHeight="1" x14ac:dyDescent="0.3"/>
    <row r="536" ht="14.25" customHeight="1" x14ac:dyDescent="0.3"/>
    <row r="537" ht="14.25" customHeight="1" x14ac:dyDescent="0.3"/>
    <row r="538" ht="14.25" customHeight="1" x14ac:dyDescent="0.3"/>
    <row r="539" ht="14.25" customHeight="1" x14ac:dyDescent="0.3"/>
    <row r="540" ht="14.25" customHeight="1" x14ac:dyDescent="0.3"/>
    <row r="541" ht="14.25" customHeight="1" x14ac:dyDescent="0.3"/>
    <row r="542" ht="14.25" customHeight="1" x14ac:dyDescent="0.3"/>
    <row r="543" ht="14.25" customHeight="1" x14ac:dyDescent="0.3"/>
    <row r="544" ht="14.25" customHeight="1" x14ac:dyDescent="0.3"/>
    <row r="545" ht="14.25" customHeight="1" x14ac:dyDescent="0.3"/>
    <row r="546" ht="14.25" customHeight="1" x14ac:dyDescent="0.3"/>
    <row r="547" ht="14.25" customHeight="1" x14ac:dyDescent="0.3"/>
    <row r="548" ht="14.25" customHeight="1" x14ac:dyDescent="0.3"/>
    <row r="549" ht="14.25" customHeight="1" x14ac:dyDescent="0.3"/>
    <row r="550" ht="14.25" customHeight="1" x14ac:dyDescent="0.3"/>
    <row r="551" ht="14.25" customHeight="1" x14ac:dyDescent="0.3"/>
    <row r="552" ht="14.25" customHeight="1" x14ac:dyDescent="0.3"/>
    <row r="553" ht="14.25" customHeight="1" x14ac:dyDescent="0.3"/>
    <row r="554" ht="14.25" customHeight="1" x14ac:dyDescent="0.3"/>
    <row r="555" ht="14.25" customHeight="1" x14ac:dyDescent="0.3"/>
    <row r="556" ht="14.25" customHeight="1" x14ac:dyDescent="0.3"/>
    <row r="557" ht="14.25" customHeight="1" x14ac:dyDescent="0.3"/>
    <row r="558" ht="14.25" customHeight="1" x14ac:dyDescent="0.3"/>
    <row r="559" ht="14.25" customHeight="1" x14ac:dyDescent="0.3"/>
    <row r="560" ht="14.25" customHeight="1" x14ac:dyDescent="0.3"/>
    <row r="561" ht="14.25" customHeight="1" x14ac:dyDescent="0.3"/>
    <row r="562" ht="14.25" customHeight="1" x14ac:dyDescent="0.3"/>
    <row r="563" ht="14.25" customHeight="1" x14ac:dyDescent="0.3"/>
    <row r="564" ht="14.25" customHeight="1" x14ac:dyDescent="0.3"/>
    <row r="565" ht="14.25" customHeight="1" x14ac:dyDescent="0.3"/>
    <row r="566" ht="14.25" customHeight="1" x14ac:dyDescent="0.3"/>
    <row r="567" ht="14.25" customHeight="1" x14ac:dyDescent="0.3"/>
    <row r="568" ht="14.25" customHeight="1" x14ac:dyDescent="0.3"/>
    <row r="569" ht="14.25" customHeight="1" x14ac:dyDescent="0.3"/>
    <row r="570" ht="14.25" customHeight="1" x14ac:dyDescent="0.3"/>
    <row r="571" ht="14.25" customHeight="1" x14ac:dyDescent="0.3"/>
    <row r="572" ht="14.25" customHeight="1" x14ac:dyDescent="0.3"/>
    <row r="573" ht="14.25" customHeight="1" x14ac:dyDescent="0.3"/>
    <row r="574" ht="14.25" customHeight="1" x14ac:dyDescent="0.3"/>
    <row r="575" ht="14.25" customHeight="1" x14ac:dyDescent="0.3"/>
    <row r="576" ht="14.25" customHeight="1" x14ac:dyDescent="0.3"/>
    <row r="577" ht="14.25" customHeight="1" x14ac:dyDescent="0.3"/>
    <row r="578" ht="14.25" customHeight="1" x14ac:dyDescent="0.3"/>
    <row r="579" ht="14.25" customHeight="1" x14ac:dyDescent="0.3"/>
    <row r="580" ht="14.25" customHeight="1" x14ac:dyDescent="0.3"/>
    <row r="581" ht="14.25" customHeight="1" x14ac:dyDescent="0.3"/>
    <row r="582" ht="14.25" customHeight="1" x14ac:dyDescent="0.3"/>
    <row r="583" ht="14.25" customHeight="1" x14ac:dyDescent="0.3"/>
    <row r="584" ht="14.25" customHeight="1" x14ac:dyDescent="0.3"/>
    <row r="585" ht="14.25" customHeight="1" x14ac:dyDescent="0.3"/>
    <row r="586" ht="14.25" customHeight="1" x14ac:dyDescent="0.3"/>
    <row r="587" ht="14.25" customHeight="1" x14ac:dyDescent="0.3"/>
    <row r="588" ht="14.25" customHeight="1" x14ac:dyDescent="0.3"/>
    <row r="589" ht="14.25" customHeight="1" x14ac:dyDescent="0.3"/>
    <row r="590" ht="14.25" customHeight="1" x14ac:dyDescent="0.3"/>
    <row r="591" ht="14.25" customHeight="1" x14ac:dyDescent="0.3"/>
    <row r="592" ht="14.25" customHeight="1" x14ac:dyDescent="0.3"/>
    <row r="593" ht="14.25" customHeight="1" x14ac:dyDescent="0.3"/>
    <row r="594" ht="14.25" customHeight="1" x14ac:dyDescent="0.3"/>
    <row r="595" ht="14.25" customHeight="1" x14ac:dyDescent="0.3"/>
    <row r="596" ht="14.25" customHeight="1" x14ac:dyDescent="0.3"/>
    <row r="597" ht="14.25" customHeight="1" x14ac:dyDescent="0.3"/>
    <row r="598" ht="14.25" customHeight="1" x14ac:dyDescent="0.3"/>
    <row r="599" ht="14.25" customHeight="1" x14ac:dyDescent="0.3"/>
    <row r="600" ht="14.25" customHeight="1" x14ac:dyDescent="0.3"/>
    <row r="601" ht="14.25" customHeight="1" x14ac:dyDescent="0.3"/>
    <row r="602" ht="14.25" customHeight="1" x14ac:dyDescent="0.3"/>
    <row r="603" ht="14.25" customHeight="1" x14ac:dyDescent="0.3"/>
    <row r="604" ht="14.25" customHeight="1" x14ac:dyDescent="0.3"/>
    <row r="605" ht="14.25" customHeight="1" x14ac:dyDescent="0.3"/>
    <row r="606" ht="14.25" customHeight="1" x14ac:dyDescent="0.3"/>
    <row r="607" ht="14.25" customHeight="1" x14ac:dyDescent="0.3"/>
    <row r="608" ht="14.25" customHeight="1" x14ac:dyDescent="0.3"/>
    <row r="609" ht="14.25" customHeight="1" x14ac:dyDescent="0.3"/>
    <row r="610" ht="14.25" customHeight="1" x14ac:dyDescent="0.3"/>
    <row r="611" ht="14.25" customHeight="1" x14ac:dyDescent="0.3"/>
    <row r="612" ht="14.25" customHeight="1" x14ac:dyDescent="0.3"/>
    <row r="613" ht="14.25" customHeight="1" x14ac:dyDescent="0.3"/>
    <row r="614" ht="14.25" customHeight="1" x14ac:dyDescent="0.3"/>
    <row r="615" ht="14.25" customHeight="1" x14ac:dyDescent="0.3"/>
    <row r="616" ht="14.25" customHeight="1" x14ac:dyDescent="0.3"/>
    <row r="617" ht="14.25" customHeight="1" x14ac:dyDescent="0.3"/>
    <row r="618" ht="14.25" customHeight="1" x14ac:dyDescent="0.3"/>
    <row r="619" ht="14.25" customHeight="1" x14ac:dyDescent="0.3"/>
    <row r="620" ht="14.25" customHeight="1" x14ac:dyDescent="0.3"/>
    <row r="621" ht="14.25" customHeight="1" x14ac:dyDescent="0.3"/>
    <row r="622" ht="14.25" customHeight="1" x14ac:dyDescent="0.3"/>
    <row r="623" ht="14.25" customHeight="1" x14ac:dyDescent="0.3"/>
    <row r="624" ht="14.25" customHeight="1" x14ac:dyDescent="0.3"/>
    <row r="625" ht="14.25" customHeight="1" x14ac:dyDescent="0.3"/>
    <row r="626" ht="14.25" customHeight="1" x14ac:dyDescent="0.3"/>
    <row r="627" ht="14.25" customHeight="1" x14ac:dyDescent="0.3"/>
    <row r="628" ht="14.25" customHeight="1" x14ac:dyDescent="0.3"/>
    <row r="629" ht="14.25" customHeight="1" x14ac:dyDescent="0.3"/>
    <row r="630" ht="14.25" customHeight="1" x14ac:dyDescent="0.3"/>
    <row r="631" ht="14.25" customHeight="1" x14ac:dyDescent="0.3"/>
    <row r="632" ht="14.25" customHeight="1" x14ac:dyDescent="0.3"/>
    <row r="633" ht="14.25" customHeight="1" x14ac:dyDescent="0.3"/>
    <row r="634" ht="14.25" customHeight="1" x14ac:dyDescent="0.3"/>
    <row r="635" ht="14.25" customHeight="1" x14ac:dyDescent="0.3"/>
    <row r="636" ht="14.25" customHeight="1" x14ac:dyDescent="0.3"/>
    <row r="637" ht="14.25" customHeight="1" x14ac:dyDescent="0.3"/>
    <row r="638" ht="14.25" customHeight="1" x14ac:dyDescent="0.3"/>
    <row r="639" ht="14.25" customHeight="1" x14ac:dyDescent="0.3"/>
    <row r="640" ht="14.25" customHeight="1" x14ac:dyDescent="0.3"/>
    <row r="641" ht="14.25" customHeight="1" x14ac:dyDescent="0.3"/>
    <row r="642" ht="14.25" customHeight="1" x14ac:dyDescent="0.3"/>
    <row r="643" ht="14.25" customHeight="1" x14ac:dyDescent="0.3"/>
    <row r="644" ht="14.25" customHeight="1" x14ac:dyDescent="0.3"/>
    <row r="645" ht="14.25" customHeight="1" x14ac:dyDescent="0.3"/>
    <row r="646" ht="14.25" customHeight="1" x14ac:dyDescent="0.3"/>
    <row r="647" ht="14.25" customHeight="1" x14ac:dyDescent="0.3"/>
    <row r="648" ht="14.25" customHeight="1" x14ac:dyDescent="0.3"/>
    <row r="649" ht="14.25" customHeight="1" x14ac:dyDescent="0.3"/>
    <row r="650" ht="14.25" customHeight="1" x14ac:dyDescent="0.3"/>
    <row r="651" ht="14.25" customHeight="1" x14ac:dyDescent="0.3"/>
    <row r="652" ht="14.25" customHeight="1" x14ac:dyDescent="0.3"/>
    <row r="653" ht="14.25" customHeight="1" x14ac:dyDescent="0.3"/>
    <row r="654" ht="14.25" customHeight="1" x14ac:dyDescent="0.3"/>
    <row r="655" ht="14.25" customHeight="1" x14ac:dyDescent="0.3"/>
    <row r="656" ht="14.25" customHeight="1" x14ac:dyDescent="0.3"/>
    <row r="657" ht="14.25" customHeight="1" x14ac:dyDescent="0.3"/>
    <row r="658" ht="14.25" customHeight="1" x14ac:dyDescent="0.3"/>
    <row r="659" ht="14.25" customHeight="1" x14ac:dyDescent="0.3"/>
    <row r="660" ht="14.25" customHeight="1" x14ac:dyDescent="0.3"/>
    <row r="661" ht="14.25" customHeight="1" x14ac:dyDescent="0.3"/>
    <row r="662" ht="14.25" customHeight="1" x14ac:dyDescent="0.3"/>
    <row r="663" ht="14.25" customHeight="1" x14ac:dyDescent="0.3"/>
    <row r="664" ht="14.25" customHeight="1" x14ac:dyDescent="0.3"/>
    <row r="665" ht="14.25" customHeight="1" x14ac:dyDescent="0.3"/>
    <row r="666" ht="14.25" customHeight="1" x14ac:dyDescent="0.3"/>
    <row r="667" ht="14.25" customHeight="1" x14ac:dyDescent="0.3"/>
    <row r="668" ht="14.25" customHeight="1" x14ac:dyDescent="0.3"/>
    <row r="669" ht="14.25" customHeight="1" x14ac:dyDescent="0.3"/>
    <row r="670" ht="14.25" customHeight="1" x14ac:dyDescent="0.3"/>
    <row r="671" ht="14.25" customHeight="1" x14ac:dyDescent="0.3"/>
    <row r="672" ht="14.25" customHeight="1" x14ac:dyDescent="0.3"/>
    <row r="673" ht="14.25" customHeight="1" x14ac:dyDescent="0.3"/>
    <row r="674" ht="14.25" customHeight="1" x14ac:dyDescent="0.3"/>
    <row r="675" ht="14.25" customHeight="1" x14ac:dyDescent="0.3"/>
    <row r="676" ht="14.25" customHeight="1" x14ac:dyDescent="0.3"/>
    <row r="677" ht="14.25" customHeight="1" x14ac:dyDescent="0.3"/>
    <row r="678" ht="14.25" customHeight="1" x14ac:dyDescent="0.3"/>
    <row r="679" ht="14.25" customHeight="1" x14ac:dyDescent="0.3"/>
    <row r="680" ht="14.25" customHeight="1" x14ac:dyDescent="0.3"/>
    <row r="681" ht="14.25" customHeight="1" x14ac:dyDescent="0.3"/>
    <row r="682" ht="14.25" customHeight="1" x14ac:dyDescent="0.3"/>
    <row r="683" ht="14.25" customHeight="1" x14ac:dyDescent="0.3"/>
    <row r="684" ht="14.25" customHeight="1" x14ac:dyDescent="0.3"/>
    <row r="685" ht="14.25" customHeight="1" x14ac:dyDescent="0.3"/>
    <row r="686" ht="14.25" customHeight="1" x14ac:dyDescent="0.3"/>
    <row r="687" ht="14.25" customHeight="1" x14ac:dyDescent="0.3"/>
    <row r="688" ht="14.25" customHeight="1" x14ac:dyDescent="0.3"/>
    <row r="689" ht="14.25" customHeight="1" x14ac:dyDescent="0.3"/>
    <row r="690" ht="14.25" customHeight="1" x14ac:dyDescent="0.3"/>
    <row r="691" ht="14.25" customHeight="1" x14ac:dyDescent="0.3"/>
    <row r="692" ht="14.25" customHeight="1" x14ac:dyDescent="0.3"/>
    <row r="693" ht="14.25" customHeight="1" x14ac:dyDescent="0.3"/>
    <row r="694" ht="14.25" customHeight="1" x14ac:dyDescent="0.3"/>
    <row r="695" ht="14.25" customHeight="1" x14ac:dyDescent="0.3"/>
    <row r="696" ht="14.25" customHeight="1" x14ac:dyDescent="0.3"/>
    <row r="697" ht="14.25" customHeight="1" x14ac:dyDescent="0.3"/>
    <row r="698" ht="14.25" customHeight="1" x14ac:dyDescent="0.3"/>
    <row r="699" ht="14.25" customHeight="1" x14ac:dyDescent="0.3"/>
    <row r="700" ht="14.25" customHeight="1" x14ac:dyDescent="0.3"/>
    <row r="701" ht="14.25" customHeight="1" x14ac:dyDescent="0.3"/>
    <row r="702" ht="14.25" customHeight="1" x14ac:dyDescent="0.3"/>
    <row r="703" ht="14.25" customHeight="1" x14ac:dyDescent="0.3"/>
    <row r="704" ht="14.25" customHeight="1" x14ac:dyDescent="0.3"/>
    <row r="705" ht="14.25" customHeight="1" x14ac:dyDescent="0.3"/>
    <row r="706" ht="14.25" customHeight="1" x14ac:dyDescent="0.3"/>
    <row r="707" ht="14.25" customHeight="1" x14ac:dyDescent="0.3"/>
    <row r="708" ht="14.25" customHeight="1" x14ac:dyDescent="0.3"/>
    <row r="709" ht="14.25" customHeight="1" x14ac:dyDescent="0.3"/>
    <row r="710" ht="14.25" customHeight="1" x14ac:dyDescent="0.3"/>
    <row r="711" ht="14.25" customHeight="1" x14ac:dyDescent="0.3"/>
    <row r="712" ht="14.25" customHeight="1" x14ac:dyDescent="0.3"/>
    <row r="713" ht="14.25" customHeight="1" x14ac:dyDescent="0.3"/>
    <row r="714" ht="14.25" customHeight="1" x14ac:dyDescent="0.3"/>
    <row r="715" ht="14.25" customHeight="1" x14ac:dyDescent="0.3"/>
    <row r="716" ht="14.25" customHeight="1" x14ac:dyDescent="0.3"/>
    <row r="717" ht="14.25" customHeight="1" x14ac:dyDescent="0.3"/>
    <row r="718" ht="14.25" customHeight="1" x14ac:dyDescent="0.3"/>
    <row r="719" ht="14.25" customHeight="1" x14ac:dyDescent="0.3"/>
    <row r="720" ht="14.25" customHeight="1" x14ac:dyDescent="0.3"/>
    <row r="721" ht="14.25" customHeight="1" x14ac:dyDescent="0.3"/>
    <row r="722" ht="14.25" customHeight="1" x14ac:dyDescent="0.3"/>
    <row r="723" ht="14.25" customHeight="1" x14ac:dyDescent="0.3"/>
    <row r="724" ht="14.25" customHeight="1" x14ac:dyDescent="0.3"/>
    <row r="725" ht="14.25" customHeight="1" x14ac:dyDescent="0.3"/>
    <row r="726" ht="14.25" customHeight="1" x14ac:dyDescent="0.3"/>
    <row r="727" ht="14.25" customHeight="1" x14ac:dyDescent="0.3"/>
    <row r="728" ht="14.25" customHeight="1" x14ac:dyDescent="0.3"/>
    <row r="729" ht="14.25" customHeight="1" x14ac:dyDescent="0.3"/>
    <row r="730" ht="14.25" customHeight="1" x14ac:dyDescent="0.3"/>
    <row r="731" ht="14.25" customHeight="1" x14ac:dyDescent="0.3"/>
    <row r="732" ht="14.25" customHeight="1" x14ac:dyDescent="0.3"/>
    <row r="733" ht="14.25" customHeight="1" x14ac:dyDescent="0.3"/>
    <row r="734" ht="14.25" customHeight="1" x14ac:dyDescent="0.3"/>
    <row r="735" ht="14.25" customHeight="1" x14ac:dyDescent="0.3"/>
    <row r="736" ht="14.25" customHeight="1" x14ac:dyDescent="0.3"/>
    <row r="737" ht="14.25" customHeight="1" x14ac:dyDescent="0.3"/>
    <row r="738" ht="14.25" customHeight="1" x14ac:dyDescent="0.3"/>
    <row r="739" ht="14.25" customHeight="1" x14ac:dyDescent="0.3"/>
    <row r="740" ht="14.25" customHeight="1" x14ac:dyDescent="0.3"/>
    <row r="741" ht="14.25" customHeight="1" x14ac:dyDescent="0.3"/>
    <row r="742" ht="14.25" customHeight="1" x14ac:dyDescent="0.3"/>
    <row r="743" ht="14.25" customHeight="1" x14ac:dyDescent="0.3"/>
    <row r="744" ht="14.25" customHeight="1" x14ac:dyDescent="0.3"/>
    <row r="745" ht="14.25" customHeight="1" x14ac:dyDescent="0.3"/>
    <row r="746" ht="14.25" customHeight="1" x14ac:dyDescent="0.3"/>
    <row r="747" ht="14.25" customHeight="1" x14ac:dyDescent="0.3"/>
    <row r="748" ht="14.25" customHeight="1" x14ac:dyDescent="0.3"/>
    <row r="749" ht="14.25" customHeight="1" x14ac:dyDescent="0.3"/>
    <row r="750" ht="14.25" customHeight="1" x14ac:dyDescent="0.3"/>
    <row r="751" ht="14.25" customHeight="1" x14ac:dyDescent="0.3"/>
    <row r="752" ht="14.25" customHeight="1" x14ac:dyDescent="0.3"/>
    <row r="753" ht="14.25" customHeight="1" x14ac:dyDescent="0.3"/>
    <row r="754" ht="14.25" customHeight="1" x14ac:dyDescent="0.3"/>
    <row r="755" ht="14.25" customHeight="1" x14ac:dyDescent="0.3"/>
    <row r="756" ht="14.25" customHeight="1" x14ac:dyDescent="0.3"/>
    <row r="757" ht="14.25" customHeight="1" x14ac:dyDescent="0.3"/>
    <row r="758" ht="14.25" customHeight="1" x14ac:dyDescent="0.3"/>
    <row r="759" ht="14.25" customHeight="1" x14ac:dyDescent="0.3"/>
    <row r="760" ht="14.25" customHeight="1" x14ac:dyDescent="0.3"/>
    <row r="761" ht="14.25" customHeight="1" x14ac:dyDescent="0.3"/>
    <row r="762" ht="14.25" customHeight="1" x14ac:dyDescent="0.3"/>
    <row r="763" ht="14.25" customHeight="1" x14ac:dyDescent="0.3"/>
    <row r="764" ht="14.25" customHeight="1" x14ac:dyDescent="0.3"/>
    <row r="765" ht="14.25" customHeight="1" x14ac:dyDescent="0.3"/>
    <row r="766" ht="14.25" customHeight="1" x14ac:dyDescent="0.3"/>
    <row r="767" ht="14.25" customHeight="1" x14ac:dyDescent="0.3"/>
    <row r="768" ht="14.25" customHeight="1" x14ac:dyDescent="0.3"/>
    <row r="769" ht="14.25" customHeight="1" x14ac:dyDescent="0.3"/>
    <row r="770" ht="14.25" customHeight="1" x14ac:dyDescent="0.3"/>
    <row r="771" ht="14.25" customHeight="1" x14ac:dyDescent="0.3"/>
    <row r="772" ht="14.25" customHeight="1" x14ac:dyDescent="0.3"/>
    <row r="773" ht="14.25" customHeight="1" x14ac:dyDescent="0.3"/>
    <row r="774" ht="14.25" customHeight="1" x14ac:dyDescent="0.3"/>
    <row r="775" ht="14.25" customHeight="1" x14ac:dyDescent="0.3"/>
    <row r="776" ht="14.25" customHeight="1" x14ac:dyDescent="0.3"/>
    <row r="777" ht="14.25" customHeight="1" x14ac:dyDescent="0.3"/>
    <row r="778" ht="14.25" customHeight="1" x14ac:dyDescent="0.3"/>
    <row r="779" ht="14.25" customHeight="1" x14ac:dyDescent="0.3"/>
    <row r="780" ht="14.25" customHeight="1" x14ac:dyDescent="0.3"/>
    <row r="781" ht="14.25" customHeight="1" x14ac:dyDescent="0.3"/>
    <row r="782" ht="14.25" customHeight="1" x14ac:dyDescent="0.3"/>
    <row r="783" ht="14.25" customHeight="1" x14ac:dyDescent="0.3"/>
    <row r="784" ht="14.25" customHeight="1" x14ac:dyDescent="0.3"/>
    <row r="785" ht="14.25" customHeight="1" x14ac:dyDescent="0.3"/>
    <row r="786" ht="14.25" customHeight="1" x14ac:dyDescent="0.3"/>
    <row r="787" ht="14.25" customHeight="1" x14ac:dyDescent="0.3"/>
    <row r="788" ht="14.25" customHeight="1" x14ac:dyDescent="0.3"/>
    <row r="789" ht="14.25" customHeight="1" x14ac:dyDescent="0.3"/>
    <row r="790" ht="14.25" customHeight="1" x14ac:dyDescent="0.3"/>
    <row r="791" ht="14.25" customHeight="1" x14ac:dyDescent="0.3"/>
    <row r="792" ht="14.25" customHeight="1" x14ac:dyDescent="0.3"/>
    <row r="793" ht="14.25" customHeight="1" x14ac:dyDescent="0.3"/>
    <row r="794" ht="14.25" customHeight="1" x14ac:dyDescent="0.3"/>
    <row r="795" ht="14.25" customHeight="1" x14ac:dyDescent="0.3"/>
    <row r="796" ht="14.25" customHeight="1" x14ac:dyDescent="0.3"/>
    <row r="797" ht="14.25" customHeight="1" x14ac:dyDescent="0.3"/>
    <row r="798" ht="14.25" customHeight="1" x14ac:dyDescent="0.3"/>
    <row r="799" ht="14.25" customHeight="1" x14ac:dyDescent="0.3"/>
    <row r="800" ht="14.25" customHeight="1" x14ac:dyDescent="0.3"/>
    <row r="801" ht="14.25" customHeight="1" x14ac:dyDescent="0.3"/>
    <row r="802" ht="14.25" customHeight="1" x14ac:dyDescent="0.3"/>
    <row r="803" ht="14.25" customHeight="1" x14ac:dyDescent="0.3"/>
    <row r="804" ht="14.25" customHeight="1" x14ac:dyDescent="0.3"/>
    <row r="805" ht="14.25" customHeight="1" x14ac:dyDescent="0.3"/>
    <row r="806" ht="14.25" customHeight="1" x14ac:dyDescent="0.3"/>
    <row r="807" ht="14.25" customHeight="1" x14ac:dyDescent="0.3"/>
    <row r="808" ht="14.25" customHeight="1" x14ac:dyDescent="0.3"/>
    <row r="809" ht="14.25" customHeight="1" x14ac:dyDescent="0.3"/>
    <row r="810" ht="14.25" customHeight="1" x14ac:dyDescent="0.3"/>
    <row r="811" ht="14.25" customHeight="1" x14ac:dyDescent="0.3"/>
    <row r="812" ht="14.25" customHeight="1" x14ac:dyDescent="0.3"/>
    <row r="813" ht="14.25" customHeight="1" x14ac:dyDescent="0.3"/>
    <row r="814" ht="14.25" customHeight="1" x14ac:dyDescent="0.3"/>
    <row r="815" ht="14.25" customHeight="1" x14ac:dyDescent="0.3"/>
    <row r="816" ht="14.25" customHeight="1" x14ac:dyDescent="0.3"/>
    <row r="817" ht="14.25" customHeight="1" x14ac:dyDescent="0.3"/>
    <row r="818" ht="14.25" customHeight="1" x14ac:dyDescent="0.3"/>
    <row r="819" ht="14.25" customHeight="1" x14ac:dyDescent="0.3"/>
    <row r="820" ht="14.25" customHeight="1" x14ac:dyDescent="0.3"/>
    <row r="821" ht="14.25" customHeight="1" x14ac:dyDescent="0.3"/>
    <row r="822" ht="14.25" customHeight="1" x14ac:dyDescent="0.3"/>
    <row r="823" ht="14.25" customHeight="1" x14ac:dyDescent="0.3"/>
    <row r="824" ht="14.25" customHeight="1" x14ac:dyDescent="0.3"/>
    <row r="825" ht="14.25" customHeight="1" x14ac:dyDescent="0.3"/>
    <row r="826" ht="14.25" customHeight="1" x14ac:dyDescent="0.3"/>
    <row r="827" ht="14.25" customHeight="1" x14ac:dyDescent="0.3"/>
    <row r="828" ht="14.25" customHeight="1" x14ac:dyDescent="0.3"/>
    <row r="829" ht="14.25" customHeight="1" x14ac:dyDescent="0.3"/>
    <row r="830" ht="14.25" customHeight="1" x14ac:dyDescent="0.3"/>
    <row r="831" ht="14.25" customHeight="1" x14ac:dyDescent="0.3"/>
    <row r="832" ht="14.25" customHeight="1" x14ac:dyDescent="0.3"/>
    <row r="833" ht="14.25" customHeight="1" x14ac:dyDescent="0.3"/>
    <row r="834" ht="14.25" customHeight="1" x14ac:dyDescent="0.3"/>
    <row r="835" ht="14.25" customHeight="1" x14ac:dyDescent="0.3"/>
    <row r="836" ht="14.25" customHeight="1" x14ac:dyDescent="0.3"/>
    <row r="837" ht="14.25" customHeight="1" x14ac:dyDescent="0.3"/>
    <row r="838" ht="14.25" customHeight="1" x14ac:dyDescent="0.3"/>
    <row r="839" ht="14.25" customHeight="1" x14ac:dyDescent="0.3"/>
    <row r="840" ht="14.25" customHeight="1" x14ac:dyDescent="0.3"/>
    <row r="841" ht="14.25" customHeight="1" x14ac:dyDescent="0.3"/>
    <row r="842" ht="14.25" customHeight="1" x14ac:dyDescent="0.3"/>
    <row r="843" ht="14.25" customHeight="1" x14ac:dyDescent="0.3"/>
    <row r="844" ht="14.25" customHeight="1" x14ac:dyDescent="0.3"/>
    <row r="845" ht="14.25" customHeight="1" x14ac:dyDescent="0.3"/>
    <row r="846" ht="14.25" customHeight="1" x14ac:dyDescent="0.3"/>
    <row r="847" ht="14.25" customHeight="1" x14ac:dyDescent="0.3"/>
    <row r="848" ht="14.25" customHeight="1" x14ac:dyDescent="0.3"/>
    <row r="849" ht="14.25" customHeight="1" x14ac:dyDescent="0.3"/>
    <row r="850" ht="14.25" customHeight="1" x14ac:dyDescent="0.3"/>
    <row r="851" ht="14.25" customHeight="1" x14ac:dyDescent="0.3"/>
    <row r="852" ht="14.25" customHeight="1" x14ac:dyDescent="0.3"/>
    <row r="853" ht="14.25" customHeight="1" x14ac:dyDescent="0.3"/>
    <row r="854" ht="14.25" customHeight="1" x14ac:dyDescent="0.3"/>
    <row r="855" ht="14.25" customHeight="1" x14ac:dyDescent="0.3"/>
    <row r="856" ht="14.25" customHeight="1" x14ac:dyDescent="0.3"/>
    <row r="857" ht="14.25" customHeight="1" x14ac:dyDescent="0.3"/>
    <row r="858" ht="14.25" customHeight="1" x14ac:dyDescent="0.3"/>
    <row r="859" ht="14.25" customHeight="1" x14ac:dyDescent="0.3"/>
    <row r="860" ht="14.25" customHeight="1" x14ac:dyDescent="0.3"/>
    <row r="861" ht="14.25" customHeight="1" x14ac:dyDescent="0.3"/>
    <row r="862" ht="14.25" customHeight="1" x14ac:dyDescent="0.3"/>
    <row r="863" ht="14.25" customHeight="1" x14ac:dyDescent="0.3"/>
    <row r="864" ht="14.25" customHeight="1" x14ac:dyDescent="0.3"/>
    <row r="865" ht="14.25" customHeight="1" x14ac:dyDescent="0.3"/>
    <row r="866" ht="14.25" customHeight="1" x14ac:dyDescent="0.3"/>
    <row r="867" ht="14.25" customHeight="1" x14ac:dyDescent="0.3"/>
    <row r="868" ht="14.25" customHeight="1" x14ac:dyDescent="0.3"/>
    <row r="869" ht="14.25" customHeight="1" x14ac:dyDescent="0.3"/>
    <row r="870" ht="14.25" customHeight="1" x14ac:dyDescent="0.3"/>
    <row r="871" ht="14.25" customHeight="1" x14ac:dyDescent="0.3"/>
    <row r="872" ht="14.25" customHeight="1" x14ac:dyDescent="0.3"/>
    <row r="873" ht="14.25" customHeight="1" x14ac:dyDescent="0.3"/>
    <row r="874" ht="14.25" customHeight="1" x14ac:dyDescent="0.3"/>
    <row r="875" ht="14.25" customHeight="1" x14ac:dyDescent="0.3"/>
    <row r="876" ht="14.25" customHeight="1" x14ac:dyDescent="0.3"/>
    <row r="877" ht="14.25" customHeight="1" x14ac:dyDescent="0.3"/>
    <row r="878" ht="14.25" customHeight="1" x14ac:dyDescent="0.3"/>
    <row r="879" ht="14.25" customHeight="1" x14ac:dyDescent="0.3"/>
    <row r="880" ht="14.25" customHeight="1" x14ac:dyDescent="0.3"/>
    <row r="881" ht="14.25" customHeight="1" x14ac:dyDescent="0.3"/>
    <row r="882" ht="14.25" customHeight="1" x14ac:dyDescent="0.3"/>
    <row r="883" ht="14.25" customHeight="1" x14ac:dyDescent="0.3"/>
    <row r="884" ht="14.25" customHeight="1" x14ac:dyDescent="0.3"/>
    <row r="885" ht="14.25" customHeight="1" x14ac:dyDescent="0.3"/>
    <row r="886" ht="14.25" customHeight="1" x14ac:dyDescent="0.3"/>
    <row r="887" ht="14.25" customHeight="1" x14ac:dyDescent="0.3"/>
    <row r="888" ht="14.25" customHeight="1" x14ac:dyDescent="0.3"/>
    <row r="889" ht="14.25" customHeight="1" x14ac:dyDescent="0.3"/>
    <row r="890" ht="14.25" customHeight="1" x14ac:dyDescent="0.3"/>
    <row r="891" ht="14.25" customHeight="1" x14ac:dyDescent="0.3"/>
    <row r="892" ht="14.25" customHeight="1" x14ac:dyDescent="0.3"/>
    <row r="893" ht="14.25" customHeight="1" x14ac:dyDescent="0.3"/>
    <row r="894" ht="14.25" customHeight="1" x14ac:dyDescent="0.3"/>
    <row r="895" ht="14.25" customHeight="1" x14ac:dyDescent="0.3"/>
    <row r="896" ht="14.25" customHeight="1" x14ac:dyDescent="0.3"/>
    <row r="897" ht="14.25" customHeight="1" x14ac:dyDescent="0.3"/>
    <row r="898" ht="14.25" customHeight="1" x14ac:dyDescent="0.3"/>
    <row r="899" ht="14.25" customHeight="1" x14ac:dyDescent="0.3"/>
    <row r="900" ht="14.25" customHeight="1" x14ac:dyDescent="0.3"/>
    <row r="901" ht="14.25" customHeight="1" x14ac:dyDescent="0.3"/>
    <row r="902" ht="14.25" customHeight="1" x14ac:dyDescent="0.3"/>
    <row r="903" ht="14.25" customHeight="1" x14ac:dyDescent="0.3"/>
    <row r="904" ht="14.25" customHeight="1" x14ac:dyDescent="0.3"/>
    <row r="905" ht="14.25" customHeight="1" x14ac:dyDescent="0.3"/>
    <row r="906" ht="14.25" customHeight="1" x14ac:dyDescent="0.3"/>
    <row r="907" ht="14.25" customHeight="1" x14ac:dyDescent="0.3"/>
    <row r="908" ht="14.25" customHeight="1" x14ac:dyDescent="0.3"/>
    <row r="909" ht="14.25" customHeight="1" x14ac:dyDescent="0.3"/>
    <row r="910" ht="14.25" customHeight="1" x14ac:dyDescent="0.3"/>
    <row r="911" ht="14.25" customHeight="1" x14ac:dyDescent="0.3"/>
    <row r="912" ht="14.25" customHeight="1" x14ac:dyDescent="0.3"/>
    <row r="913" ht="14.25" customHeight="1" x14ac:dyDescent="0.3"/>
    <row r="914" ht="14.25" customHeight="1" x14ac:dyDescent="0.3"/>
    <row r="915" ht="14.25" customHeight="1" x14ac:dyDescent="0.3"/>
    <row r="916" ht="14.25" customHeight="1" x14ac:dyDescent="0.3"/>
    <row r="917" ht="14.25" customHeight="1" x14ac:dyDescent="0.3"/>
    <row r="918" ht="14.25" customHeight="1" x14ac:dyDescent="0.3"/>
    <row r="919" ht="14.25" customHeight="1" x14ac:dyDescent="0.3"/>
    <row r="920" ht="14.25" customHeight="1" x14ac:dyDescent="0.3"/>
    <row r="921" ht="14.25" customHeight="1" x14ac:dyDescent="0.3"/>
    <row r="922" ht="14.25" customHeight="1" x14ac:dyDescent="0.3"/>
    <row r="923" ht="14.25" customHeight="1" x14ac:dyDescent="0.3"/>
    <row r="924" ht="14.25" customHeight="1" x14ac:dyDescent="0.3"/>
    <row r="925" ht="14.25" customHeight="1" x14ac:dyDescent="0.3"/>
    <row r="926" ht="14.25" customHeight="1" x14ac:dyDescent="0.3"/>
    <row r="927" ht="14.25" customHeight="1" x14ac:dyDescent="0.3"/>
    <row r="928" ht="14.25" customHeight="1" x14ac:dyDescent="0.3"/>
    <row r="929" ht="14.25" customHeight="1" x14ac:dyDescent="0.3"/>
    <row r="930" ht="14.25" customHeight="1" x14ac:dyDescent="0.3"/>
    <row r="931" ht="14.25" customHeight="1" x14ac:dyDescent="0.3"/>
    <row r="932" ht="14.25" customHeight="1" x14ac:dyDescent="0.3"/>
    <row r="933" ht="14.25" customHeight="1" x14ac:dyDescent="0.3"/>
    <row r="934" ht="14.25" customHeight="1" x14ac:dyDescent="0.3"/>
    <row r="935" ht="14.25" customHeight="1" x14ac:dyDescent="0.3"/>
    <row r="936" ht="14.25" customHeight="1" x14ac:dyDescent="0.3"/>
    <row r="937" ht="14.25" customHeight="1" x14ac:dyDescent="0.3"/>
    <row r="938" ht="14.25" customHeight="1" x14ac:dyDescent="0.3"/>
    <row r="939" ht="14.25" customHeight="1" x14ac:dyDescent="0.3"/>
    <row r="940" ht="14.25" customHeight="1" x14ac:dyDescent="0.3"/>
    <row r="941" ht="14.25" customHeight="1" x14ac:dyDescent="0.3"/>
    <row r="942" ht="14.25" customHeight="1" x14ac:dyDescent="0.3"/>
    <row r="943" ht="14.25" customHeight="1" x14ac:dyDescent="0.3"/>
    <row r="944" ht="14.25" customHeight="1" x14ac:dyDescent="0.3"/>
    <row r="945" ht="14.25" customHeight="1" x14ac:dyDescent="0.3"/>
    <row r="946" ht="14.25" customHeight="1" x14ac:dyDescent="0.3"/>
    <row r="947" ht="14.25" customHeight="1" x14ac:dyDescent="0.3"/>
    <row r="948" ht="14.25" customHeight="1" x14ac:dyDescent="0.3"/>
    <row r="949" ht="14.25" customHeight="1" x14ac:dyDescent="0.3"/>
    <row r="950" ht="14.25" customHeight="1" x14ac:dyDescent="0.3"/>
    <row r="951" ht="14.25" customHeight="1" x14ac:dyDescent="0.3"/>
    <row r="952" ht="14.25" customHeight="1" x14ac:dyDescent="0.3"/>
    <row r="953" ht="14.25" customHeight="1" x14ac:dyDescent="0.3"/>
    <row r="954" ht="14.25" customHeight="1" x14ac:dyDescent="0.3"/>
    <row r="955" ht="14.25" customHeight="1" x14ac:dyDescent="0.3"/>
    <row r="956" ht="14.25" customHeight="1" x14ac:dyDescent="0.3"/>
    <row r="957" ht="14.25" customHeight="1" x14ac:dyDescent="0.3"/>
    <row r="958" ht="14.25" customHeight="1" x14ac:dyDescent="0.3"/>
    <row r="959" ht="14.25" customHeight="1" x14ac:dyDescent="0.3"/>
    <row r="960" ht="14.25" customHeight="1" x14ac:dyDescent="0.3"/>
    <row r="961" ht="14.25" customHeight="1" x14ac:dyDescent="0.3"/>
    <row r="962" ht="14.25" customHeight="1" x14ac:dyDescent="0.3"/>
    <row r="963" ht="14.25" customHeight="1" x14ac:dyDescent="0.3"/>
    <row r="964" ht="14.25" customHeight="1" x14ac:dyDescent="0.3"/>
    <row r="965" ht="14.25" customHeight="1" x14ac:dyDescent="0.3"/>
    <row r="966" ht="14.25" customHeight="1" x14ac:dyDescent="0.3"/>
    <row r="967" ht="14.25" customHeight="1" x14ac:dyDescent="0.3"/>
    <row r="968" ht="14.25" customHeight="1" x14ac:dyDescent="0.3"/>
    <row r="969" ht="14.25" customHeight="1" x14ac:dyDescent="0.3"/>
    <row r="970" ht="14.25" customHeight="1" x14ac:dyDescent="0.3"/>
    <row r="971" ht="14.25" customHeight="1" x14ac:dyDescent="0.3"/>
    <row r="972" ht="14.25" customHeight="1" x14ac:dyDescent="0.3"/>
    <row r="973" ht="14.25" customHeight="1" x14ac:dyDescent="0.3"/>
    <row r="974" ht="14.25" customHeight="1" x14ac:dyDescent="0.3"/>
    <row r="975" ht="14.25" customHeight="1" x14ac:dyDescent="0.3"/>
    <row r="976" ht="14.25" customHeight="1" x14ac:dyDescent="0.3"/>
    <row r="977" ht="14.25" customHeight="1" x14ac:dyDescent="0.3"/>
    <row r="978" ht="14.25" customHeight="1" x14ac:dyDescent="0.3"/>
    <row r="979" ht="14.25" customHeight="1" x14ac:dyDescent="0.3"/>
    <row r="980" ht="14.25" customHeight="1" x14ac:dyDescent="0.3"/>
    <row r="981" ht="14.25" customHeight="1" x14ac:dyDescent="0.3"/>
    <row r="982" ht="14.25" customHeight="1" x14ac:dyDescent="0.3"/>
    <row r="983" ht="14.25" customHeight="1" x14ac:dyDescent="0.3"/>
    <row r="984" ht="14.25" customHeight="1" x14ac:dyDescent="0.3"/>
    <row r="985" ht="14.25" customHeight="1" x14ac:dyDescent="0.3"/>
    <row r="986" ht="14.25" customHeight="1" x14ac:dyDescent="0.3"/>
    <row r="987" ht="14.25" customHeight="1" x14ac:dyDescent="0.3"/>
    <row r="988" ht="14.25" customHeight="1" x14ac:dyDescent="0.3"/>
    <row r="989" ht="14.25" customHeight="1" x14ac:dyDescent="0.3"/>
    <row r="990" ht="14.25" customHeight="1" x14ac:dyDescent="0.3"/>
    <row r="991" ht="14.25" customHeight="1" x14ac:dyDescent="0.3"/>
    <row r="992" ht="14.25" customHeight="1" x14ac:dyDescent="0.3"/>
    <row r="993" ht="14.25" customHeight="1" x14ac:dyDescent="0.3"/>
    <row r="994" ht="14.25" customHeight="1" x14ac:dyDescent="0.3"/>
    <row r="995" ht="14.25" customHeight="1" x14ac:dyDescent="0.3"/>
    <row r="996" ht="14.25" customHeight="1" x14ac:dyDescent="0.3"/>
    <row r="997" ht="14.25" customHeight="1" x14ac:dyDescent="0.3"/>
    <row r="998" ht="14.25" customHeight="1" x14ac:dyDescent="0.3"/>
    <row r="999" ht="14.25" customHeight="1" x14ac:dyDescent="0.3"/>
    <row r="1000" ht="14.25" customHeight="1" x14ac:dyDescent="0.3"/>
  </sheetData>
  <pageMargins left="0.7" right="0.7" top="0.75" bottom="0.75" header="0" footer="0"/>
  <pageSetup orientation="landscape"/>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40"/>
  <dimension ref="A1:B1000"/>
  <sheetViews>
    <sheetView workbookViewId="0"/>
  </sheetViews>
  <sheetFormatPr baseColWidth="10" defaultColWidth="14.44140625" defaultRowHeight="15" customHeight="1" x14ac:dyDescent="0.3"/>
  <cols>
    <col min="1" max="1" width="14.33203125" customWidth="1"/>
    <col min="2" max="2" width="78.6640625" customWidth="1"/>
    <col min="3" max="6" width="10.6640625" customWidth="1"/>
  </cols>
  <sheetData>
    <row r="1" spans="1:2" ht="97.5" customHeight="1" x14ac:dyDescent="0.3">
      <c r="A1" s="25" t="s">
        <v>235</v>
      </c>
      <c r="B1" s="137" t="s">
        <v>236</v>
      </c>
    </row>
    <row r="2" spans="1:2" ht="14.25" customHeight="1" x14ac:dyDescent="0.3">
      <c r="A2" s="25" t="s">
        <v>237</v>
      </c>
      <c r="B2" s="138" t="s">
        <v>238</v>
      </c>
    </row>
    <row r="3" spans="1:2" ht="14.25" customHeight="1" x14ac:dyDescent="0.3">
      <c r="A3" s="25" t="s">
        <v>239</v>
      </c>
      <c r="B3" s="138" t="s">
        <v>240</v>
      </c>
    </row>
    <row r="4" spans="1:2" ht="14.25" customHeight="1" x14ac:dyDescent="0.3">
      <c r="A4" s="25" t="s">
        <v>241</v>
      </c>
      <c r="B4" s="138" t="s">
        <v>242</v>
      </c>
    </row>
    <row r="5" spans="1:2" ht="14.25" customHeight="1" x14ac:dyDescent="0.3">
      <c r="A5" s="25" t="s">
        <v>243</v>
      </c>
      <c r="B5" s="139" t="s">
        <v>244</v>
      </c>
    </row>
    <row r="6" spans="1:2" ht="14.25" customHeight="1" x14ac:dyDescent="0.3">
      <c r="A6" s="25" t="s">
        <v>245</v>
      </c>
      <c r="B6" s="139" t="s">
        <v>246</v>
      </c>
    </row>
    <row r="7" spans="1:2" ht="14.25" customHeight="1" x14ac:dyDescent="0.3">
      <c r="A7" s="25" t="s">
        <v>247</v>
      </c>
      <c r="B7" s="138" t="s">
        <v>248</v>
      </c>
    </row>
    <row r="8" spans="1:2" ht="14.25" customHeight="1" x14ac:dyDescent="0.3">
      <c r="A8" s="25" t="s">
        <v>249</v>
      </c>
      <c r="B8" s="137" t="s">
        <v>250</v>
      </c>
    </row>
    <row r="9" spans="1:2" ht="14.25" customHeight="1" x14ac:dyDescent="0.3">
      <c r="A9" s="25" t="s">
        <v>251</v>
      </c>
      <c r="B9" s="137" t="s">
        <v>252</v>
      </c>
    </row>
    <row r="10" spans="1:2" ht="14.25" customHeight="1" x14ac:dyDescent="0.3">
      <c r="A10" s="25" t="s">
        <v>253</v>
      </c>
      <c r="B10" s="137" t="s">
        <v>254</v>
      </c>
    </row>
    <row r="11" spans="1:2" ht="14.25" customHeight="1" x14ac:dyDescent="0.3">
      <c r="A11" s="25" t="s">
        <v>255</v>
      </c>
      <c r="B11" s="137" t="s">
        <v>256</v>
      </c>
    </row>
    <row r="12" spans="1:2" ht="14.25" customHeight="1" x14ac:dyDescent="0.3">
      <c r="A12" s="25" t="s">
        <v>257</v>
      </c>
      <c r="B12" s="138" t="s">
        <v>258</v>
      </c>
    </row>
    <row r="13" spans="1:2" ht="14.25" customHeight="1" x14ac:dyDescent="0.3">
      <c r="A13" s="25" t="s">
        <v>259</v>
      </c>
      <c r="B13" s="137" t="s">
        <v>260</v>
      </c>
    </row>
    <row r="14" spans="1:2" ht="14.25" customHeight="1" x14ac:dyDescent="0.3">
      <c r="A14" s="25" t="s">
        <v>261</v>
      </c>
      <c r="B14" s="137" t="s">
        <v>262</v>
      </c>
    </row>
    <row r="15" spans="1:2" ht="14.25" customHeight="1" x14ac:dyDescent="0.3">
      <c r="A15" s="25" t="s">
        <v>263</v>
      </c>
      <c r="B15" s="137" t="s">
        <v>264</v>
      </c>
    </row>
    <row r="16" spans="1:2" ht="14.25" customHeight="1" x14ac:dyDescent="0.3">
      <c r="A16" s="25" t="s">
        <v>265</v>
      </c>
      <c r="B16" s="140" t="s">
        <v>266</v>
      </c>
    </row>
    <row r="17" spans="1:2" ht="14.25" customHeight="1" x14ac:dyDescent="0.3">
      <c r="A17" s="25" t="s">
        <v>267</v>
      </c>
      <c r="B17" s="137" t="s">
        <v>268</v>
      </c>
    </row>
    <row r="18" spans="1:2" ht="14.25" customHeight="1" x14ac:dyDescent="0.3">
      <c r="A18" s="25" t="s">
        <v>13</v>
      </c>
    </row>
    <row r="19" spans="1:2" ht="14.25" customHeight="1" x14ac:dyDescent="0.3"/>
    <row r="20" spans="1:2" ht="14.25" customHeight="1" x14ac:dyDescent="0.3"/>
    <row r="21" spans="1:2" ht="14.25" customHeight="1" x14ac:dyDescent="0.3"/>
    <row r="22" spans="1:2" ht="14.25" customHeight="1" x14ac:dyDescent="0.3"/>
    <row r="23" spans="1:2" ht="14.25" customHeight="1" x14ac:dyDescent="0.3"/>
    <row r="24" spans="1:2" ht="14.25" customHeight="1" x14ac:dyDescent="0.3"/>
    <row r="25" spans="1:2" ht="14.25" customHeight="1" x14ac:dyDescent="0.3"/>
    <row r="26" spans="1:2" ht="14.25" customHeight="1" x14ac:dyDescent="0.3"/>
    <row r="27" spans="1:2" ht="14.25" customHeight="1" x14ac:dyDescent="0.3"/>
    <row r="28" spans="1:2" ht="14.25" customHeight="1" x14ac:dyDescent="0.3"/>
    <row r="29" spans="1:2" ht="14.25" customHeight="1" x14ac:dyDescent="0.3"/>
    <row r="30" spans="1:2" ht="14.25" customHeight="1" x14ac:dyDescent="0.3"/>
    <row r="31" spans="1:2" ht="14.25" customHeight="1" x14ac:dyDescent="0.3"/>
    <row r="32" spans="1: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19"/>
  <dimension ref="A1:O1000"/>
  <sheetViews>
    <sheetView workbookViewId="0"/>
  </sheetViews>
  <sheetFormatPr baseColWidth="10" defaultColWidth="14.44140625" defaultRowHeight="15" customHeight="1" x14ac:dyDescent="0.3"/>
  <cols>
    <col min="1" max="5" width="10.6640625" customWidth="1"/>
    <col min="6" max="6" width="15.88671875" customWidth="1"/>
    <col min="7" max="14" width="10.6640625" customWidth="1"/>
    <col min="15" max="15" width="17.33203125" customWidth="1"/>
  </cols>
  <sheetData>
    <row r="1" spans="1:15" ht="14.25" customHeight="1" x14ac:dyDescent="0.3">
      <c r="A1" s="385" t="s">
        <v>269</v>
      </c>
      <c r="B1" s="370"/>
      <c r="C1" s="370"/>
      <c r="D1" s="370"/>
      <c r="E1" s="370"/>
      <c r="F1" s="386"/>
      <c r="J1" s="385" t="s">
        <v>270</v>
      </c>
      <c r="K1" s="370"/>
      <c r="L1" s="370"/>
      <c r="M1" s="370"/>
      <c r="N1" s="370"/>
      <c r="O1" s="386"/>
    </row>
    <row r="2" spans="1:15" ht="14.25" customHeight="1" x14ac:dyDescent="0.3">
      <c r="A2" s="141" t="s">
        <v>271</v>
      </c>
      <c r="F2" s="142"/>
      <c r="J2" s="141" t="s">
        <v>272</v>
      </c>
      <c r="O2" s="142"/>
    </row>
    <row r="3" spans="1:15" ht="14.25" customHeight="1" x14ac:dyDescent="0.3">
      <c r="A3" s="141" t="s">
        <v>273</v>
      </c>
      <c r="F3" s="142"/>
      <c r="J3" s="141" t="s">
        <v>274</v>
      </c>
      <c r="O3" s="142"/>
    </row>
    <row r="4" spans="1:15" ht="14.25" customHeight="1" x14ac:dyDescent="0.3">
      <c r="A4" s="141" t="s">
        <v>275</v>
      </c>
      <c r="F4" s="142"/>
      <c r="J4" s="141" t="s">
        <v>276</v>
      </c>
      <c r="O4" s="142"/>
    </row>
    <row r="5" spans="1:15" ht="14.25" customHeight="1" x14ac:dyDescent="0.3">
      <c r="A5" s="141" t="s">
        <v>277</v>
      </c>
      <c r="F5" s="142"/>
      <c r="J5" s="141" t="s">
        <v>278</v>
      </c>
      <c r="O5" s="142"/>
    </row>
    <row r="6" spans="1:15" ht="14.25" customHeight="1" x14ac:dyDescent="0.3">
      <c r="A6" s="141" t="s">
        <v>279</v>
      </c>
      <c r="F6" s="142"/>
      <c r="J6" s="141" t="s">
        <v>280</v>
      </c>
      <c r="O6" s="142"/>
    </row>
    <row r="7" spans="1:15" ht="14.25" customHeight="1" x14ac:dyDescent="0.3">
      <c r="A7" s="141" t="s">
        <v>281</v>
      </c>
      <c r="F7" s="142"/>
      <c r="J7" s="141" t="s">
        <v>282</v>
      </c>
      <c r="O7" s="142"/>
    </row>
    <row r="8" spans="1:15" ht="14.25" customHeight="1" x14ac:dyDescent="0.3">
      <c r="A8" s="141" t="s">
        <v>283</v>
      </c>
      <c r="F8" s="142"/>
      <c r="J8" s="141" t="s">
        <v>284</v>
      </c>
      <c r="O8" s="142"/>
    </row>
    <row r="9" spans="1:15" ht="14.25" customHeight="1" x14ac:dyDescent="0.3">
      <c r="A9" s="141" t="s">
        <v>285</v>
      </c>
      <c r="F9" s="142"/>
      <c r="J9" s="141" t="s">
        <v>286</v>
      </c>
      <c r="O9" s="142"/>
    </row>
    <row r="10" spans="1:15" ht="14.25" customHeight="1" x14ac:dyDescent="0.3">
      <c r="A10" s="141" t="s">
        <v>287</v>
      </c>
      <c r="F10" s="142"/>
      <c r="J10" s="141" t="s">
        <v>284</v>
      </c>
      <c r="O10" s="142"/>
    </row>
    <row r="11" spans="1:15" ht="14.25" customHeight="1" x14ac:dyDescent="0.3">
      <c r="A11" s="141" t="s">
        <v>288</v>
      </c>
      <c r="F11" s="142"/>
      <c r="J11" s="141" t="s">
        <v>289</v>
      </c>
      <c r="O11" s="142"/>
    </row>
    <row r="12" spans="1:15" ht="14.25" customHeight="1" x14ac:dyDescent="0.3">
      <c r="A12" s="141" t="s">
        <v>290</v>
      </c>
      <c r="F12" s="142"/>
      <c r="J12" s="141" t="s">
        <v>291</v>
      </c>
      <c r="O12" s="142"/>
    </row>
    <row r="13" spans="1:15" ht="14.25" customHeight="1" x14ac:dyDescent="0.3">
      <c r="A13" s="141" t="s">
        <v>292</v>
      </c>
      <c r="F13" s="142"/>
      <c r="J13" s="141" t="s">
        <v>293</v>
      </c>
      <c r="O13" s="142"/>
    </row>
    <row r="14" spans="1:15" ht="14.25" customHeight="1" x14ac:dyDescent="0.3">
      <c r="A14" s="141" t="s">
        <v>294</v>
      </c>
      <c r="F14" s="142"/>
      <c r="J14" s="141" t="s">
        <v>295</v>
      </c>
      <c r="O14" s="142"/>
    </row>
    <row r="15" spans="1:15" ht="14.25" customHeight="1" x14ac:dyDescent="0.3">
      <c r="A15" s="141" t="s">
        <v>296</v>
      </c>
      <c r="F15" s="142"/>
      <c r="J15" s="141" t="s">
        <v>297</v>
      </c>
      <c r="O15" s="142"/>
    </row>
    <row r="16" spans="1:15" ht="14.25" customHeight="1" x14ac:dyDescent="0.3">
      <c r="A16" s="141" t="s">
        <v>298</v>
      </c>
      <c r="F16" s="142"/>
      <c r="J16" s="141" t="s">
        <v>299</v>
      </c>
      <c r="O16" s="142"/>
    </row>
    <row r="17" spans="1:15" ht="14.25" customHeight="1" x14ac:dyDescent="0.3">
      <c r="A17" s="141" t="s">
        <v>300</v>
      </c>
      <c r="F17" s="142"/>
      <c r="J17" s="141" t="s">
        <v>301</v>
      </c>
      <c r="O17" s="142"/>
    </row>
    <row r="18" spans="1:15" ht="14.25" customHeight="1" x14ac:dyDescent="0.3">
      <c r="A18" s="141" t="s">
        <v>302</v>
      </c>
      <c r="F18" s="142"/>
      <c r="J18" s="141" t="s">
        <v>303</v>
      </c>
      <c r="O18" s="142"/>
    </row>
    <row r="19" spans="1:15" ht="14.25" customHeight="1" x14ac:dyDescent="0.3">
      <c r="A19" s="141" t="s">
        <v>304</v>
      </c>
      <c r="F19" s="142"/>
      <c r="J19" s="141" t="s">
        <v>305</v>
      </c>
      <c r="O19" s="142"/>
    </row>
    <row r="20" spans="1:15" ht="14.25" customHeight="1" x14ac:dyDescent="0.3">
      <c r="A20" s="141" t="s">
        <v>306</v>
      </c>
      <c r="F20" s="142"/>
      <c r="J20" s="141" t="s">
        <v>307</v>
      </c>
      <c r="O20" s="142"/>
    </row>
    <row r="21" spans="1:15" ht="14.25" customHeight="1" x14ac:dyDescent="0.3">
      <c r="A21" s="141" t="s">
        <v>308</v>
      </c>
      <c r="F21" s="142"/>
      <c r="J21" s="141" t="s">
        <v>309</v>
      </c>
      <c r="O21" s="142"/>
    </row>
    <row r="22" spans="1:15" ht="14.25" customHeight="1" x14ac:dyDescent="0.3">
      <c r="A22" s="141" t="s">
        <v>310</v>
      </c>
      <c r="F22" s="142"/>
      <c r="J22" s="143" t="s">
        <v>311</v>
      </c>
      <c r="K22" s="144"/>
      <c r="L22" s="144"/>
      <c r="M22" s="144"/>
      <c r="N22" s="144"/>
      <c r="O22" s="145"/>
    </row>
    <row r="23" spans="1:15" ht="14.25" customHeight="1" x14ac:dyDescent="0.3">
      <c r="A23" s="141" t="s">
        <v>312</v>
      </c>
      <c r="F23" s="142"/>
    </row>
    <row r="24" spans="1:15" ht="14.25" customHeight="1" x14ac:dyDescent="0.3">
      <c r="A24" s="141" t="s">
        <v>313</v>
      </c>
      <c r="F24" s="142"/>
    </row>
    <row r="25" spans="1:15" ht="14.25" customHeight="1" x14ac:dyDescent="0.3">
      <c r="A25" s="141" t="s">
        <v>314</v>
      </c>
      <c r="F25" s="142"/>
    </row>
    <row r="26" spans="1:15" ht="14.25" customHeight="1" x14ac:dyDescent="0.3">
      <c r="A26" s="141" t="s">
        <v>315</v>
      </c>
      <c r="F26" s="142"/>
    </row>
    <row r="27" spans="1:15" ht="14.25" customHeight="1" x14ac:dyDescent="0.3">
      <c r="A27" s="141" t="s">
        <v>316</v>
      </c>
      <c r="F27" s="142"/>
    </row>
    <row r="28" spans="1:15" ht="14.25" customHeight="1" x14ac:dyDescent="0.3">
      <c r="A28" s="141" t="s">
        <v>317</v>
      </c>
      <c r="F28" s="142"/>
    </row>
    <row r="29" spans="1:15" ht="14.25" customHeight="1" x14ac:dyDescent="0.3">
      <c r="A29" s="141" t="s">
        <v>318</v>
      </c>
      <c r="F29" s="142"/>
    </row>
    <row r="30" spans="1:15" ht="14.25" customHeight="1" x14ac:dyDescent="0.3">
      <c r="A30" s="141" t="s">
        <v>319</v>
      </c>
      <c r="F30" s="142"/>
    </row>
    <row r="31" spans="1:15" ht="14.25" customHeight="1" x14ac:dyDescent="0.3">
      <c r="A31" s="141" t="s">
        <v>320</v>
      </c>
      <c r="F31" s="142"/>
    </row>
    <row r="32" spans="1:15" ht="14.25" customHeight="1" x14ac:dyDescent="0.3">
      <c r="A32" s="141" t="s">
        <v>321</v>
      </c>
      <c r="F32" s="142"/>
    </row>
    <row r="33" spans="1:6" ht="14.25" customHeight="1" x14ac:dyDescent="0.3">
      <c r="A33" s="141" t="s">
        <v>322</v>
      </c>
      <c r="F33" s="142"/>
    </row>
    <row r="34" spans="1:6" ht="14.25" customHeight="1" x14ac:dyDescent="0.3">
      <c r="A34" s="141" t="s">
        <v>323</v>
      </c>
      <c r="F34" s="142"/>
    </row>
    <row r="35" spans="1:6" ht="14.25" customHeight="1" x14ac:dyDescent="0.3">
      <c r="A35" s="141" t="s">
        <v>324</v>
      </c>
      <c r="F35" s="142"/>
    </row>
    <row r="36" spans="1:6" ht="14.25" customHeight="1" x14ac:dyDescent="0.3">
      <c r="A36" s="141" t="s">
        <v>325</v>
      </c>
      <c r="F36" s="142"/>
    </row>
    <row r="37" spans="1:6" ht="14.25" customHeight="1" x14ac:dyDescent="0.3">
      <c r="A37" s="141" t="s">
        <v>326</v>
      </c>
      <c r="F37" s="142"/>
    </row>
    <row r="38" spans="1:6" ht="14.25" customHeight="1" x14ac:dyDescent="0.3">
      <c r="A38" s="141" t="s">
        <v>327</v>
      </c>
      <c r="F38" s="142"/>
    </row>
    <row r="39" spans="1:6" ht="14.25" customHeight="1" x14ac:dyDescent="0.3">
      <c r="A39" s="141" t="s">
        <v>328</v>
      </c>
      <c r="F39" s="142"/>
    </row>
    <row r="40" spans="1:6" ht="14.25" customHeight="1" x14ac:dyDescent="0.3">
      <c r="A40" s="141" t="s">
        <v>329</v>
      </c>
      <c r="F40" s="142"/>
    </row>
    <row r="41" spans="1:6" ht="14.25" customHeight="1" x14ac:dyDescent="0.3">
      <c r="A41" s="141" t="s">
        <v>330</v>
      </c>
      <c r="F41" s="142"/>
    </row>
    <row r="42" spans="1:6" ht="14.25" customHeight="1" x14ac:dyDescent="0.3">
      <c r="A42" s="141" t="s">
        <v>331</v>
      </c>
      <c r="F42" s="142"/>
    </row>
    <row r="43" spans="1:6" ht="14.25" customHeight="1" x14ac:dyDescent="0.3">
      <c r="A43" s="141" t="s">
        <v>332</v>
      </c>
      <c r="F43" s="142"/>
    </row>
    <row r="44" spans="1:6" ht="14.25" customHeight="1" x14ac:dyDescent="0.3">
      <c r="A44" s="141" t="s">
        <v>333</v>
      </c>
      <c r="F44" s="142"/>
    </row>
    <row r="45" spans="1:6" ht="14.25" customHeight="1" x14ac:dyDescent="0.3">
      <c r="A45" s="141" t="s">
        <v>334</v>
      </c>
      <c r="F45" s="142"/>
    </row>
    <row r="46" spans="1:6" ht="14.25" customHeight="1" x14ac:dyDescent="0.3">
      <c r="A46" s="141" t="s">
        <v>335</v>
      </c>
      <c r="F46" s="142"/>
    </row>
    <row r="47" spans="1:6" ht="14.25" customHeight="1" x14ac:dyDescent="0.3">
      <c r="A47" s="143" t="s">
        <v>336</v>
      </c>
      <c r="B47" s="144"/>
      <c r="C47" s="144"/>
      <c r="D47" s="144"/>
      <c r="E47" s="144"/>
      <c r="F47" s="145"/>
    </row>
    <row r="48" spans="1:6"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mergeCells count="2">
    <mergeCell ref="A1:F1"/>
    <mergeCell ref="J1:O1"/>
  </mergeCells>
  <pageMargins left="0.7" right="0.7" top="0.75" bottom="0.75" header="0" footer="0"/>
  <pageSetup orientation="landscape"/>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24"/>
  <dimension ref="A1:G1000"/>
  <sheetViews>
    <sheetView workbookViewId="0"/>
  </sheetViews>
  <sheetFormatPr baseColWidth="10" defaultColWidth="14.44140625" defaultRowHeight="15" customHeight="1" x14ac:dyDescent="0.3"/>
  <cols>
    <col min="1" max="1" width="14.109375" customWidth="1"/>
    <col min="2" max="2" width="23.6640625" customWidth="1"/>
    <col min="3" max="3" width="12.6640625" customWidth="1"/>
    <col min="4" max="4" width="13.33203125" customWidth="1"/>
    <col min="5" max="5" width="10.6640625" customWidth="1"/>
    <col min="6" max="6" width="23.109375" customWidth="1"/>
    <col min="7" max="7" width="10.6640625" customWidth="1"/>
  </cols>
  <sheetData>
    <row r="1" spans="1:7" ht="14.25" customHeight="1" x14ac:dyDescent="0.3">
      <c r="A1" s="3" t="s">
        <v>337</v>
      </c>
      <c r="B1" s="3" t="s">
        <v>338</v>
      </c>
      <c r="C1" s="3" t="s">
        <v>3</v>
      </c>
      <c r="D1" s="3" t="s">
        <v>339</v>
      </c>
      <c r="E1" s="3" t="s">
        <v>340</v>
      </c>
      <c r="F1" s="3" t="s">
        <v>341</v>
      </c>
      <c r="G1" s="3" t="s">
        <v>342</v>
      </c>
    </row>
    <row r="2" spans="1:7" ht="14.25" customHeight="1" x14ac:dyDescent="0.3">
      <c r="A2" s="25" t="s">
        <v>884</v>
      </c>
      <c r="B2" s="25" t="s">
        <v>885</v>
      </c>
      <c r="C2" s="25" t="s">
        <v>138</v>
      </c>
      <c r="D2" s="25" t="s">
        <v>394</v>
      </c>
      <c r="E2" s="25">
        <v>250</v>
      </c>
      <c r="F2" s="25">
        <v>12000</v>
      </c>
      <c r="G2" s="25" t="s">
        <v>141</v>
      </c>
    </row>
    <row r="3" spans="1:7" ht="14.25" customHeight="1" x14ac:dyDescent="0.3">
      <c r="A3" s="25"/>
      <c r="B3" s="25"/>
      <c r="C3" s="25"/>
      <c r="D3" s="25"/>
      <c r="E3" s="25"/>
      <c r="F3" s="25"/>
      <c r="G3" s="25"/>
    </row>
    <row r="4" spans="1:7" ht="14.25" customHeight="1" x14ac:dyDescent="0.3">
      <c r="A4" s="25"/>
      <c r="B4" s="25"/>
      <c r="C4" s="25"/>
      <c r="D4" s="25"/>
      <c r="E4" s="25"/>
      <c r="F4" s="25"/>
      <c r="G4" s="25"/>
    </row>
    <row r="5" spans="1:7" ht="14.25" customHeight="1" x14ac:dyDescent="0.3">
      <c r="A5" s="25"/>
      <c r="B5" s="25"/>
      <c r="C5" s="25"/>
      <c r="D5" s="25"/>
      <c r="E5" s="25"/>
      <c r="F5" s="25"/>
      <c r="G5" s="25"/>
    </row>
    <row r="6" spans="1:7" ht="14.25" customHeight="1" x14ac:dyDescent="0.3"/>
    <row r="7" spans="1:7" ht="14.25" customHeight="1" x14ac:dyDescent="0.3"/>
    <row r="8" spans="1:7" ht="14.25" customHeight="1" x14ac:dyDescent="0.3"/>
    <row r="9" spans="1:7" ht="14.25" customHeight="1" x14ac:dyDescent="0.3"/>
    <row r="10" spans="1:7" ht="14.25" customHeight="1" x14ac:dyDescent="0.3"/>
    <row r="11" spans="1:7" ht="14.25" customHeight="1" x14ac:dyDescent="0.3"/>
    <row r="12" spans="1:7" ht="14.25" customHeight="1" x14ac:dyDescent="0.3"/>
    <row r="13" spans="1:7" ht="14.25" customHeight="1" x14ac:dyDescent="0.3"/>
    <row r="14" spans="1:7" ht="14.25" customHeight="1" x14ac:dyDescent="0.3"/>
    <row r="15" spans="1:7" ht="14.25" customHeight="1" x14ac:dyDescent="0.3"/>
    <row r="16" spans="1:7"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sheetProtection sheet="1" objects="1" scenarios="1"/>
  <pageMargins left="0.7" right="0.7" top="0.75" bottom="0.75" header="0" footer="0"/>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25"/>
  <dimension ref="A1:F1000"/>
  <sheetViews>
    <sheetView workbookViewId="0"/>
  </sheetViews>
  <sheetFormatPr baseColWidth="10" defaultColWidth="14.44140625" defaultRowHeight="15" customHeight="1" x14ac:dyDescent="0.3"/>
  <cols>
    <col min="1" max="1" width="14.109375" customWidth="1"/>
    <col min="2" max="2" width="16.109375" customWidth="1"/>
    <col min="3" max="3" width="9.33203125" customWidth="1"/>
    <col min="4" max="4" width="24" customWidth="1"/>
    <col min="5" max="5" width="15.44140625" customWidth="1"/>
    <col min="6" max="6" width="10.6640625" customWidth="1"/>
  </cols>
  <sheetData>
    <row r="1" spans="1:6" ht="14.25" customHeight="1" x14ac:dyDescent="0.3">
      <c r="A1" s="3" t="s">
        <v>337</v>
      </c>
      <c r="B1" s="3" t="s">
        <v>338</v>
      </c>
      <c r="C1" s="3" t="s">
        <v>340</v>
      </c>
      <c r="D1" s="3" t="s">
        <v>344</v>
      </c>
      <c r="E1" s="3" t="s">
        <v>345</v>
      </c>
      <c r="F1" s="3" t="s">
        <v>346</v>
      </c>
    </row>
    <row r="2" spans="1:6" ht="14.25" customHeight="1" x14ac:dyDescent="0.3">
      <c r="A2" s="25" t="s">
        <v>884</v>
      </c>
      <c r="B2" s="25" t="s">
        <v>885</v>
      </c>
      <c r="C2" s="25">
        <v>250</v>
      </c>
      <c r="D2" s="25" t="s">
        <v>145</v>
      </c>
      <c r="E2" s="25" t="s">
        <v>146</v>
      </c>
      <c r="F2" s="25" t="s">
        <v>147</v>
      </c>
    </row>
    <row r="3" spans="1:6" ht="14.25" customHeight="1" x14ac:dyDescent="0.3">
      <c r="A3" s="25"/>
      <c r="B3" s="25"/>
      <c r="C3" s="25"/>
      <c r="D3" s="25"/>
      <c r="E3" s="25"/>
      <c r="F3" s="25"/>
    </row>
    <row r="4" spans="1:6" ht="14.25" customHeight="1" x14ac:dyDescent="0.3">
      <c r="A4" s="25"/>
      <c r="B4" s="25"/>
      <c r="C4" s="25"/>
      <c r="D4" s="25"/>
      <c r="E4" s="25"/>
      <c r="F4" s="25"/>
    </row>
    <row r="5" spans="1:6" ht="14.25" customHeight="1" x14ac:dyDescent="0.3">
      <c r="A5" s="25"/>
      <c r="B5" s="25"/>
      <c r="C5" s="25"/>
      <c r="D5" s="25"/>
      <c r="E5" s="25"/>
      <c r="F5" s="25"/>
    </row>
    <row r="6" spans="1:6" ht="14.25" customHeight="1" x14ac:dyDescent="0.3"/>
    <row r="7" spans="1:6" ht="14.25" customHeight="1" x14ac:dyDescent="0.3"/>
    <row r="8" spans="1:6" ht="14.25" customHeight="1" x14ac:dyDescent="0.3"/>
    <row r="9" spans="1:6" ht="14.25" customHeight="1" x14ac:dyDescent="0.3"/>
    <row r="10" spans="1:6" ht="14.25" customHeight="1" x14ac:dyDescent="0.3"/>
    <row r="11" spans="1:6" ht="14.25" customHeight="1" x14ac:dyDescent="0.3"/>
    <row r="12" spans="1:6" ht="14.25" customHeight="1" x14ac:dyDescent="0.3"/>
    <row r="13" spans="1:6" ht="14.25" customHeight="1" x14ac:dyDescent="0.3"/>
    <row r="14" spans="1:6" ht="14.25" customHeight="1" x14ac:dyDescent="0.3"/>
    <row r="15" spans="1:6" ht="14.25" customHeight="1" x14ac:dyDescent="0.3"/>
    <row r="16" spans="1:6"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sheetProtection sheet="1" objects="1" scenarios="1"/>
  <pageMargins left="0.7" right="0.7" top="0.75" bottom="0.75" header="0" footer="0"/>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26"/>
  <dimension ref="A1:F1000"/>
  <sheetViews>
    <sheetView workbookViewId="0"/>
  </sheetViews>
  <sheetFormatPr baseColWidth="10" defaultColWidth="14.44140625" defaultRowHeight="15" customHeight="1" x14ac:dyDescent="0.3"/>
  <cols>
    <col min="1" max="1" width="14.109375" customWidth="1"/>
    <col min="2" max="2" width="13.44140625" customWidth="1"/>
    <col min="3" max="3" width="12.6640625" customWidth="1"/>
    <col min="4" max="4" width="13.33203125" customWidth="1"/>
    <col min="5" max="5" width="10.6640625" customWidth="1"/>
    <col min="6" max="6" width="22.88671875" customWidth="1"/>
  </cols>
  <sheetData>
    <row r="1" spans="1:6" ht="14.25" customHeight="1" x14ac:dyDescent="0.3">
      <c r="A1" s="3" t="s">
        <v>337</v>
      </c>
      <c r="B1" s="3" t="s">
        <v>338</v>
      </c>
      <c r="C1" s="3" t="s">
        <v>3</v>
      </c>
      <c r="D1" s="3" t="s">
        <v>339</v>
      </c>
      <c r="E1" s="3" t="s">
        <v>340</v>
      </c>
      <c r="F1" s="3" t="s">
        <v>347</v>
      </c>
    </row>
    <row r="2" spans="1:6" ht="14.25" customHeight="1" x14ac:dyDescent="0.3">
      <c r="A2" s="25" t="s">
        <v>884</v>
      </c>
      <c r="B2" s="25" t="s">
        <v>885</v>
      </c>
      <c r="C2" s="25" t="s">
        <v>138</v>
      </c>
      <c r="D2" s="25" t="s">
        <v>394</v>
      </c>
      <c r="E2" s="25">
        <v>250</v>
      </c>
      <c r="F2" s="25" t="s">
        <v>156</v>
      </c>
    </row>
    <row r="3" spans="1:6" ht="14.25" customHeight="1" x14ac:dyDescent="0.3">
      <c r="A3" s="25"/>
      <c r="B3" s="25"/>
      <c r="C3" s="25"/>
      <c r="D3" s="25"/>
      <c r="E3" s="25"/>
      <c r="F3" s="25"/>
    </row>
    <row r="4" spans="1:6" ht="14.25" customHeight="1" x14ac:dyDescent="0.3">
      <c r="A4" s="25"/>
      <c r="B4" s="25"/>
      <c r="C4" s="25"/>
      <c r="D4" s="25"/>
      <c r="E4" s="25"/>
      <c r="F4" s="25"/>
    </row>
    <row r="5" spans="1:6" ht="14.25" customHeight="1" x14ac:dyDescent="0.3">
      <c r="A5" s="25"/>
      <c r="B5" s="25"/>
      <c r="C5" s="25"/>
      <c r="D5" s="25"/>
      <c r="E5" s="25"/>
      <c r="F5" s="25"/>
    </row>
    <row r="6" spans="1:6" ht="14.25" customHeight="1" x14ac:dyDescent="0.3"/>
    <row r="7" spans="1:6" ht="14.25" customHeight="1" x14ac:dyDescent="0.3"/>
    <row r="8" spans="1:6" ht="14.25" customHeight="1" x14ac:dyDescent="0.3"/>
    <row r="9" spans="1:6" ht="14.25" customHeight="1" x14ac:dyDescent="0.3"/>
    <row r="10" spans="1:6" ht="14.25" customHeight="1" x14ac:dyDescent="0.3"/>
    <row r="11" spans="1:6" ht="14.25" customHeight="1" x14ac:dyDescent="0.3"/>
    <row r="12" spans="1:6" ht="14.25" customHeight="1" x14ac:dyDescent="0.3"/>
    <row r="13" spans="1:6" ht="14.25" customHeight="1" x14ac:dyDescent="0.3"/>
    <row r="14" spans="1:6" ht="14.25" customHeight="1" x14ac:dyDescent="0.3"/>
    <row r="15" spans="1:6" ht="14.25" customHeight="1" x14ac:dyDescent="0.3"/>
    <row r="16" spans="1:6"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sheetProtection sheet="1" objects="1" scenarios="1"/>
  <pageMargins left="0.7" right="0.7" top="0.75" bottom="0.75" header="0" footer="0"/>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27"/>
  <dimension ref="A1:F1000"/>
  <sheetViews>
    <sheetView workbookViewId="0"/>
  </sheetViews>
  <sheetFormatPr baseColWidth="10" defaultColWidth="14.44140625" defaultRowHeight="15" customHeight="1" x14ac:dyDescent="0.3"/>
  <cols>
    <col min="1" max="1" width="14.109375" customWidth="1"/>
    <col min="2" max="2" width="15.33203125" customWidth="1"/>
    <col min="3" max="3" width="12.6640625" customWidth="1"/>
    <col min="4" max="4" width="13.33203125" customWidth="1"/>
    <col min="5" max="5" width="10.6640625" customWidth="1"/>
    <col min="6" max="6" width="17.33203125" customWidth="1"/>
  </cols>
  <sheetData>
    <row r="1" spans="1:6" ht="14.25" customHeight="1" x14ac:dyDescent="0.3">
      <c r="A1" s="3" t="s">
        <v>337</v>
      </c>
      <c r="B1" s="3" t="s">
        <v>338</v>
      </c>
      <c r="C1" s="3" t="s">
        <v>3</v>
      </c>
      <c r="D1" s="3" t="s">
        <v>339</v>
      </c>
      <c r="E1" s="3" t="s">
        <v>340</v>
      </c>
      <c r="F1" s="3" t="s">
        <v>348</v>
      </c>
    </row>
    <row r="2" spans="1:6" ht="14.25" customHeight="1" x14ac:dyDescent="0.3">
      <c r="A2" s="25" t="s">
        <v>884</v>
      </c>
      <c r="B2" s="25" t="s">
        <v>885</v>
      </c>
      <c r="C2" s="25" t="s">
        <v>138</v>
      </c>
      <c r="D2" s="25" t="s">
        <v>394</v>
      </c>
      <c r="E2" s="25">
        <v>250</v>
      </c>
      <c r="F2" s="25" t="s">
        <v>156</v>
      </c>
    </row>
    <row r="3" spans="1:6" ht="14.25" customHeight="1" x14ac:dyDescent="0.3">
      <c r="A3" s="25"/>
      <c r="B3" s="25"/>
      <c r="C3" s="25"/>
      <c r="D3" s="25"/>
      <c r="E3" s="25"/>
      <c r="F3" s="25"/>
    </row>
    <row r="4" spans="1:6" ht="14.25" customHeight="1" x14ac:dyDescent="0.3">
      <c r="A4" s="25"/>
      <c r="B4" s="25"/>
      <c r="C4" s="25"/>
      <c r="D4" s="25"/>
      <c r="E4" s="25"/>
      <c r="F4" s="25"/>
    </row>
    <row r="5" spans="1:6" ht="14.25" customHeight="1" x14ac:dyDescent="0.3">
      <c r="A5" s="25"/>
      <c r="B5" s="25"/>
      <c r="C5" s="25"/>
      <c r="D5" s="25"/>
      <c r="E5" s="25"/>
      <c r="F5" s="25"/>
    </row>
    <row r="6" spans="1:6" ht="14.25" customHeight="1" x14ac:dyDescent="0.3"/>
    <row r="7" spans="1:6" ht="14.25" customHeight="1" x14ac:dyDescent="0.3"/>
    <row r="8" spans="1:6" ht="14.25" customHeight="1" x14ac:dyDescent="0.3"/>
    <row r="9" spans="1:6" ht="14.25" customHeight="1" x14ac:dyDescent="0.3"/>
    <row r="10" spans="1:6" ht="14.25" customHeight="1" x14ac:dyDescent="0.3"/>
    <row r="11" spans="1:6" ht="14.25" customHeight="1" x14ac:dyDescent="0.3"/>
    <row r="12" spans="1:6" ht="14.25" customHeight="1" x14ac:dyDescent="0.3"/>
    <row r="13" spans="1:6" ht="14.25" customHeight="1" x14ac:dyDescent="0.3"/>
    <row r="14" spans="1:6" ht="14.25" customHeight="1" x14ac:dyDescent="0.3"/>
    <row r="15" spans="1:6" ht="14.25" customHeight="1" x14ac:dyDescent="0.3"/>
    <row r="16" spans="1:6"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sheetProtection sheet="1" objects="1" scenarios="1"/>
  <pageMargins left="0.7" right="0.7" top="0.75" bottom="0.75" header="0" footer="0"/>
  <pageSetup paperSize="9"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28"/>
  <dimension ref="A1:E1000"/>
  <sheetViews>
    <sheetView workbookViewId="0"/>
  </sheetViews>
  <sheetFormatPr baseColWidth="10" defaultColWidth="14.44140625" defaultRowHeight="15" customHeight="1" x14ac:dyDescent="0.3"/>
  <cols>
    <col min="1" max="1" width="14.109375" customWidth="1"/>
    <col min="2" max="2" width="13.44140625" customWidth="1"/>
    <col min="3" max="6" width="10.6640625" customWidth="1"/>
  </cols>
  <sheetData>
    <row r="1" spans="1:5" ht="14.25" customHeight="1" x14ac:dyDescent="0.3">
      <c r="A1" s="3" t="s">
        <v>337</v>
      </c>
      <c r="B1" s="3" t="s">
        <v>338</v>
      </c>
      <c r="C1" s="3" t="s">
        <v>340</v>
      </c>
      <c r="D1" s="3" t="s">
        <v>349</v>
      </c>
      <c r="E1" s="3" t="s">
        <v>69</v>
      </c>
    </row>
    <row r="2" spans="1:5" ht="14.25" customHeight="1" x14ac:dyDescent="0.3">
      <c r="A2" s="25" t="s">
        <v>884</v>
      </c>
      <c r="B2" s="25" t="s">
        <v>885</v>
      </c>
      <c r="C2" s="25">
        <v>250</v>
      </c>
      <c r="D2" s="25">
        <v>10</v>
      </c>
      <c r="E2" s="25">
        <v>11</v>
      </c>
    </row>
    <row r="3" spans="1:5" ht="14.25" customHeight="1" x14ac:dyDescent="0.3">
      <c r="A3" s="25"/>
      <c r="B3" s="25"/>
      <c r="C3" s="25"/>
      <c r="D3" s="25"/>
      <c r="E3" s="25"/>
    </row>
    <row r="4" spans="1:5" ht="14.25" customHeight="1" x14ac:dyDescent="0.3">
      <c r="A4" s="25"/>
      <c r="B4" s="25"/>
      <c r="C4" s="25"/>
      <c r="D4" s="25"/>
      <c r="E4" s="25"/>
    </row>
    <row r="5" spans="1:5" ht="14.25" customHeight="1" x14ac:dyDescent="0.3">
      <c r="A5" s="25"/>
      <c r="B5" s="25"/>
      <c r="C5" s="25"/>
      <c r="D5" s="25"/>
      <c r="E5" s="25"/>
    </row>
    <row r="6" spans="1:5" ht="14.25" customHeight="1" x14ac:dyDescent="0.3"/>
    <row r="7" spans="1:5" ht="14.25" customHeight="1" x14ac:dyDescent="0.3"/>
    <row r="8" spans="1:5" ht="14.25" customHeight="1" x14ac:dyDescent="0.3"/>
    <row r="9" spans="1:5" ht="14.25" customHeight="1" x14ac:dyDescent="0.3"/>
    <row r="10" spans="1:5" ht="14.25" customHeight="1" x14ac:dyDescent="0.3"/>
    <row r="11" spans="1:5" ht="14.25" customHeight="1" x14ac:dyDescent="0.3"/>
    <row r="12" spans="1:5" ht="14.25" customHeight="1" x14ac:dyDescent="0.3"/>
    <row r="13" spans="1:5" ht="14.25" customHeight="1" x14ac:dyDescent="0.3"/>
    <row r="14" spans="1:5" ht="14.25" customHeight="1" x14ac:dyDescent="0.3"/>
    <row r="15" spans="1:5" ht="14.25" customHeight="1" x14ac:dyDescent="0.3"/>
    <row r="16" spans="1:5"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sheetProtection sheet="1" objects="1" scenarios="1"/>
  <pageMargins left="0.7" right="0.7" top="0.75" bottom="0.75" header="0" footer="0"/>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29"/>
  <dimension ref="A1:F1000"/>
  <sheetViews>
    <sheetView workbookViewId="0"/>
  </sheetViews>
  <sheetFormatPr baseColWidth="10" defaultColWidth="14.44140625" defaultRowHeight="15" customHeight="1" x14ac:dyDescent="0.3"/>
  <cols>
    <col min="1" max="1" width="14.109375" customWidth="1"/>
    <col min="2" max="3" width="17.109375" customWidth="1"/>
    <col min="4" max="4" width="10.6640625" customWidth="1"/>
    <col min="5" max="5" width="18.6640625" customWidth="1"/>
    <col min="6" max="6" width="33.6640625" customWidth="1"/>
  </cols>
  <sheetData>
    <row r="1" spans="1:6" ht="14.25" customHeight="1" x14ac:dyDescent="0.3">
      <c r="A1" s="3" t="s">
        <v>337</v>
      </c>
      <c r="B1" s="3" t="s">
        <v>338</v>
      </c>
      <c r="C1" s="3" t="s">
        <v>339</v>
      </c>
      <c r="D1" s="3" t="s">
        <v>340</v>
      </c>
      <c r="E1" s="3" t="s">
        <v>350</v>
      </c>
      <c r="F1" s="3" t="s">
        <v>351</v>
      </c>
    </row>
    <row r="2" spans="1:6" ht="14.25" customHeight="1" x14ac:dyDescent="0.3">
      <c r="A2" s="25" t="s">
        <v>884</v>
      </c>
      <c r="B2" s="25" t="s">
        <v>885</v>
      </c>
      <c r="C2" s="25" t="s">
        <v>394</v>
      </c>
      <c r="D2" s="25">
        <v>250</v>
      </c>
      <c r="E2" s="25">
        <v>2</v>
      </c>
      <c r="F2" s="25">
        <v>50</v>
      </c>
    </row>
    <row r="3" spans="1:6" ht="14.25" customHeight="1" x14ac:dyDescent="0.3">
      <c r="A3" s="25"/>
      <c r="B3" s="25"/>
      <c r="C3" s="25"/>
      <c r="D3" s="25"/>
      <c r="E3" s="25"/>
      <c r="F3" s="25"/>
    </row>
    <row r="4" spans="1:6" ht="14.25" customHeight="1" x14ac:dyDescent="0.3">
      <c r="A4" s="25"/>
      <c r="B4" s="25"/>
      <c r="C4" s="25"/>
      <c r="D4" s="25"/>
      <c r="E4" s="25"/>
      <c r="F4" s="25"/>
    </row>
    <row r="5" spans="1:6" ht="14.25" customHeight="1" x14ac:dyDescent="0.3">
      <c r="A5" s="25"/>
      <c r="B5" s="25"/>
      <c r="C5" s="25"/>
      <c r="D5" s="25"/>
      <c r="E5" s="25"/>
      <c r="F5" s="25"/>
    </row>
    <row r="6" spans="1:6" ht="14.25" customHeight="1" x14ac:dyDescent="0.3"/>
    <row r="7" spans="1:6" ht="14.25" customHeight="1" x14ac:dyDescent="0.3"/>
    <row r="8" spans="1:6" ht="14.25" customHeight="1" x14ac:dyDescent="0.3"/>
    <row r="9" spans="1:6" ht="14.25" customHeight="1" x14ac:dyDescent="0.3"/>
    <row r="10" spans="1:6" ht="14.25" customHeight="1" x14ac:dyDescent="0.3"/>
    <row r="11" spans="1:6" ht="14.25" customHeight="1" x14ac:dyDescent="0.3"/>
    <row r="12" spans="1:6" ht="14.25" customHeight="1" x14ac:dyDescent="0.3"/>
    <row r="13" spans="1:6" ht="14.25" customHeight="1" x14ac:dyDescent="0.3"/>
    <row r="14" spans="1:6" ht="14.25" customHeight="1" x14ac:dyDescent="0.3"/>
    <row r="15" spans="1:6" ht="14.25" customHeight="1" x14ac:dyDescent="0.3"/>
    <row r="16" spans="1:6"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sheetProtection sheet="1" objects="1" scenarios="1"/>
  <pageMargins left="0.7" right="0.7" top="0.75" bottom="0.75" header="0" footer="0"/>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30"/>
  <dimension ref="A1:F1000"/>
  <sheetViews>
    <sheetView workbookViewId="0"/>
  </sheetViews>
  <sheetFormatPr baseColWidth="10" defaultColWidth="14.44140625" defaultRowHeight="15" customHeight="1" x14ac:dyDescent="0.3"/>
  <cols>
    <col min="1" max="1" width="16.33203125" customWidth="1"/>
    <col min="2" max="2" width="13.44140625" customWidth="1"/>
    <col min="3" max="3" width="12.6640625" customWidth="1"/>
    <col min="4" max="4" width="13.33203125" customWidth="1"/>
    <col min="5" max="5" width="10.6640625" customWidth="1"/>
    <col min="6" max="6" width="26.6640625" customWidth="1"/>
  </cols>
  <sheetData>
    <row r="1" spans="1:6" ht="12.75" customHeight="1" x14ac:dyDescent="0.3">
      <c r="A1" s="3" t="s">
        <v>337</v>
      </c>
      <c r="B1" s="3" t="s">
        <v>338</v>
      </c>
      <c r="C1" s="3" t="s">
        <v>3</v>
      </c>
      <c r="D1" s="3" t="s">
        <v>339</v>
      </c>
      <c r="E1" s="3" t="s">
        <v>340</v>
      </c>
      <c r="F1" s="3" t="s">
        <v>352</v>
      </c>
    </row>
    <row r="2" spans="1:6" ht="14.25" customHeight="1" x14ac:dyDescent="0.3">
      <c r="A2" s="25" t="s">
        <v>884</v>
      </c>
      <c r="B2" s="25" t="s">
        <v>885</v>
      </c>
      <c r="C2" s="25" t="s">
        <v>138</v>
      </c>
      <c r="D2" s="25" t="s">
        <v>394</v>
      </c>
      <c r="E2" s="25">
        <v>250</v>
      </c>
      <c r="F2" s="25" t="s">
        <v>159</v>
      </c>
    </row>
    <row r="3" spans="1:6" ht="14.25" customHeight="1" x14ac:dyDescent="0.3">
      <c r="A3" s="25"/>
      <c r="B3" s="25"/>
      <c r="C3" s="25"/>
      <c r="D3" s="25"/>
      <c r="E3" s="25"/>
      <c r="F3" s="25"/>
    </row>
    <row r="4" spans="1:6" ht="14.25" customHeight="1" x14ac:dyDescent="0.3">
      <c r="A4" s="25"/>
      <c r="B4" s="25"/>
      <c r="C4" s="25"/>
      <c r="D4" s="25"/>
      <c r="E4" s="25"/>
      <c r="F4" s="25"/>
    </row>
    <row r="5" spans="1:6" ht="14.25" customHeight="1" x14ac:dyDescent="0.3">
      <c r="A5" s="25"/>
      <c r="B5" s="25"/>
      <c r="C5" s="25"/>
      <c r="D5" s="25"/>
      <c r="E5" s="25"/>
      <c r="F5" s="25"/>
    </row>
    <row r="6" spans="1:6" ht="14.25" customHeight="1" x14ac:dyDescent="0.3"/>
    <row r="7" spans="1:6" ht="14.25" customHeight="1" x14ac:dyDescent="0.3"/>
    <row r="8" spans="1:6" ht="14.25" customHeight="1" x14ac:dyDescent="0.3"/>
    <row r="9" spans="1:6" ht="14.25" customHeight="1" x14ac:dyDescent="0.3"/>
    <row r="10" spans="1:6" ht="14.25" customHeight="1" x14ac:dyDescent="0.3"/>
    <row r="11" spans="1:6" ht="14.25" customHeight="1" x14ac:dyDescent="0.3"/>
    <row r="12" spans="1:6" ht="14.25" customHeight="1" x14ac:dyDescent="0.3"/>
    <row r="13" spans="1:6" ht="14.25" customHeight="1" x14ac:dyDescent="0.3"/>
    <row r="14" spans="1:6" ht="14.25" customHeight="1" x14ac:dyDescent="0.3"/>
    <row r="15" spans="1:6" ht="14.25" customHeight="1" x14ac:dyDescent="0.3"/>
    <row r="16" spans="1:6"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sheetProtection sheet="1" objects="1" scenarios="1"/>
  <pageMargins left="0.7" right="0.7" top="0.75" bottom="0.75" header="0" footer="0"/>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31"/>
  <dimension ref="A1:F1000"/>
  <sheetViews>
    <sheetView workbookViewId="0"/>
  </sheetViews>
  <sheetFormatPr baseColWidth="10" defaultColWidth="14.44140625" defaultRowHeight="15" customHeight="1" x14ac:dyDescent="0.3"/>
  <cols>
    <col min="1" max="1" width="17" customWidth="1"/>
    <col min="2" max="2" width="13.44140625" customWidth="1"/>
    <col min="3" max="3" width="13.33203125" customWidth="1"/>
    <col min="4" max="4" width="13.6640625" customWidth="1"/>
    <col min="5" max="6" width="10.6640625" customWidth="1"/>
  </cols>
  <sheetData>
    <row r="1" spans="1:6" ht="14.25" customHeight="1" x14ac:dyDescent="0.3">
      <c r="A1" s="146" t="s">
        <v>337</v>
      </c>
      <c r="B1" s="146" t="s">
        <v>338</v>
      </c>
      <c r="C1" s="146" t="s">
        <v>340</v>
      </c>
      <c r="D1" s="146" t="s">
        <v>353</v>
      </c>
      <c r="E1" s="146" t="s">
        <v>8</v>
      </c>
      <c r="F1" s="146" t="s">
        <v>354</v>
      </c>
    </row>
    <row r="2" spans="1:6" ht="14.25" customHeight="1" x14ac:dyDescent="0.3">
      <c r="A2" s="25" t="s">
        <v>884</v>
      </c>
      <c r="B2" s="25" t="s">
        <v>885</v>
      </c>
      <c r="C2" s="25">
        <v>250</v>
      </c>
      <c r="D2" s="25" t="s">
        <v>394</v>
      </c>
      <c r="E2" s="25" t="s">
        <v>187</v>
      </c>
      <c r="F2" s="25" t="s">
        <v>151</v>
      </c>
    </row>
    <row r="3" spans="1:6" ht="14.25" customHeight="1" x14ac:dyDescent="0.3">
      <c r="A3" s="25"/>
      <c r="B3" s="25"/>
      <c r="C3" s="25"/>
      <c r="D3" s="25"/>
      <c r="E3" s="25"/>
      <c r="F3" s="25"/>
    </row>
    <row r="4" spans="1:6" ht="14.25" customHeight="1" x14ac:dyDescent="0.3">
      <c r="A4" s="25"/>
      <c r="B4" s="25"/>
      <c r="C4" s="25"/>
      <c r="D4" s="25"/>
      <c r="E4" s="25"/>
      <c r="F4" s="25"/>
    </row>
    <row r="5" spans="1:6" ht="14.25" customHeight="1" x14ac:dyDescent="0.3">
      <c r="A5" s="25"/>
      <c r="B5" s="25"/>
      <c r="C5" s="25"/>
      <c r="D5" s="25"/>
      <c r="E5" s="25"/>
      <c r="F5" s="25"/>
    </row>
    <row r="6" spans="1:6" ht="14.25" customHeight="1" x14ac:dyDescent="0.3"/>
    <row r="7" spans="1:6" ht="14.25" customHeight="1" x14ac:dyDescent="0.3"/>
    <row r="8" spans="1:6" ht="14.25" customHeight="1" x14ac:dyDescent="0.3"/>
    <row r="9" spans="1:6" ht="14.25" customHeight="1" x14ac:dyDescent="0.3"/>
    <row r="10" spans="1:6" ht="14.25" customHeight="1" x14ac:dyDescent="0.3"/>
    <row r="11" spans="1:6" ht="14.25" customHeight="1" x14ac:dyDescent="0.3"/>
    <row r="12" spans="1:6" ht="14.25" customHeight="1" x14ac:dyDescent="0.3"/>
    <row r="13" spans="1:6" ht="14.25" customHeight="1" x14ac:dyDescent="0.3"/>
    <row r="14" spans="1:6" ht="14.25" customHeight="1" x14ac:dyDescent="0.3"/>
    <row r="15" spans="1:6" ht="14.25" customHeight="1" x14ac:dyDescent="0.3"/>
    <row r="16" spans="1:6"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sheetProtection sheet="1" objects="1" scenarios="1"/>
  <pageMargins left="0.7" right="0.7" top="0.75" bottom="0.75" header="0" footer="0"/>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32"/>
  <dimension ref="A1:F1000"/>
  <sheetViews>
    <sheetView workbookViewId="0"/>
  </sheetViews>
  <sheetFormatPr baseColWidth="10" defaultColWidth="14.44140625" defaultRowHeight="15" customHeight="1" x14ac:dyDescent="0.3"/>
  <cols>
    <col min="1" max="1" width="14.109375" customWidth="1"/>
    <col min="2" max="2" width="13.44140625" customWidth="1"/>
    <col min="3" max="3" width="9.33203125" customWidth="1"/>
    <col min="4" max="4" width="13.6640625" customWidth="1"/>
    <col min="5" max="6" width="10.6640625" customWidth="1"/>
  </cols>
  <sheetData>
    <row r="1" spans="1:6" ht="17.25" customHeight="1" x14ac:dyDescent="0.3">
      <c r="A1" s="146" t="s">
        <v>337</v>
      </c>
      <c r="B1" s="146" t="s">
        <v>338</v>
      </c>
      <c r="C1" s="146" t="s">
        <v>340</v>
      </c>
      <c r="D1" s="146" t="s">
        <v>353</v>
      </c>
      <c r="E1" s="146" t="s">
        <v>8</v>
      </c>
      <c r="F1" s="146" t="s">
        <v>354</v>
      </c>
    </row>
    <row r="2" spans="1:6" ht="14.25" customHeight="1" x14ac:dyDescent="0.3">
      <c r="A2" s="25" t="s">
        <v>884</v>
      </c>
      <c r="B2" s="25" t="s">
        <v>885</v>
      </c>
      <c r="C2" s="25">
        <v>250</v>
      </c>
      <c r="D2" s="25" t="s">
        <v>394</v>
      </c>
      <c r="E2" s="25" t="s">
        <v>187</v>
      </c>
      <c r="F2" s="25" t="s">
        <v>151</v>
      </c>
    </row>
    <row r="3" spans="1:6" ht="14.25" customHeight="1" x14ac:dyDescent="0.3">
      <c r="A3" s="25"/>
      <c r="B3" s="25"/>
      <c r="C3" s="25"/>
      <c r="D3" s="25"/>
      <c r="E3" s="25"/>
      <c r="F3" s="25"/>
    </row>
    <row r="4" spans="1:6" ht="14.25" customHeight="1" x14ac:dyDescent="0.3">
      <c r="A4" s="25"/>
      <c r="B4" s="25"/>
      <c r="C4" s="25"/>
      <c r="D4" s="25"/>
      <c r="E4" s="25"/>
      <c r="F4" s="25"/>
    </row>
    <row r="5" spans="1:6" ht="14.25" customHeight="1" x14ac:dyDescent="0.3">
      <c r="A5" s="25"/>
      <c r="B5" s="25"/>
      <c r="C5" s="25"/>
      <c r="D5" s="25"/>
      <c r="E5" s="25"/>
      <c r="F5" s="25"/>
    </row>
    <row r="6" spans="1:6" ht="14.25" customHeight="1" x14ac:dyDescent="0.3"/>
    <row r="7" spans="1:6" ht="14.25" customHeight="1" x14ac:dyDescent="0.3"/>
    <row r="8" spans="1:6" ht="14.25" customHeight="1" x14ac:dyDescent="0.3"/>
    <row r="9" spans="1:6" ht="14.25" customHeight="1" x14ac:dyDescent="0.3"/>
    <row r="10" spans="1:6" ht="14.25" customHeight="1" x14ac:dyDescent="0.3"/>
    <row r="11" spans="1:6" ht="14.25" customHeight="1" x14ac:dyDescent="0.3"/>
    <row r="12" spans="1:6" ht="14.25" customHeight="1" x14ac:dyDescent="0.3"/>
    <row r="13" spans="1:6" ht="14.25" customHeight="1" x14ac:dyDescent="0.3"/>
    <row r="14" spans="1:6" ht="14.25" customHeight="1" x14ac:dyDescent="0.3"/>
    <row r="15" spans="1:6" ht="14.25" customHeight="1" x14ac:dyDescent="0.3"/>
    <row r="16" spans="1:6"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sheetProtection sheet="1" objects="1" scenarios="1"/>
  <pageMargins left="0.7" right="0.7" top="0.75" bottom="0.75" header="0" footer="0"/>
  <pageSetup paperSize="9"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33"/>
  <dimension ref="A1:F1000"/>
  <sheetViews>
    <sheetView workbookViewId="0"/>
  </sheetViews>
  <sheetFormatPr baseColWidth="10" defaultColWidth="14.44140625" defaultRowHeight="15" customHeight="1" x14ac:dyDescent="0.3"/>
  <cols>
    <col min="1" max="1" width="14.109375" customWidth="1"/>
    <col min="2" max="2" width="13.44140625" customWidth="1"/>
    <col min="3" max="3" width="9.33203125" customWidth="1"/>
    <col min="4" max="4" width="13.6640625" customWidth="1"/>
    <col min="5" max="6" width="10.6640625" customWidth="1"/>
  </cols>
  <sheetData>
    <row r="1" spans="1:6" ht="14.25" customHeight="1" x14ac:dyDescent="0.3">
      <c r="A1" s="146" t="s">
        <v>337</v>
      </c>
      <c r="B1" s="146" t="s">
        <v>338</v>
      </c>
      <c r="C1" s="146" t="s">
        <v>340</v>
      </c>
      <c r="D1" s="146" t="s">
        <v>353</v>
      </c>
      <c r="E1" s="146" t="s">
        <v>8</v>
      </c>
      <c r="F1" s="146" t="s">
        <v>354</v>
      </c>
    </row>
    <row r="2" spans="1:6" ht="14.25" customHeight="1" x14ac:dyDescent="0.3">
      <c r="A2" s="25" t="s">
        <v>884</v>
      </c>
      <c r="B2" s="25" t="s">
        <v>885</v>
      </c>
      <c r="C2" s="25">
        <v>250</v>
      </c>
      <c r="D2" s="25" t="s">
        <v>394</v>
      </c>
      <c r="E2" s="25" t="s">
        <v>187</v>
      </c>
      <c r="F2" s="25" t="s">
        <v>151</v>
      </c>
    </row>
    <row r="3" spans="1:6" ht="14.25" customHeight="1" x14ac:dyDescent="0.3">
      <c r="A3" s="25"/>
      <c r="B3" s="25"/>
      <c r="C3" s="25"/>
      <c r="D3" s="25"/>
      <c r="E3" s="25"/>
      <c r="F3" s="25"/>
    </row>
    <row r="4" spans="1:6" ht="14.25" customHeight="1" x14ac:dyDescent="0.3">
      <c r="A4" s="25"/>
      <c r="B4" s="25"/>
      <c r="C4" s="25"/>
      <c r="D4" s="25"/>
      <c r="E4" s="25"/>
      <c r="F4" s="25"/>
    </row>
    <row r="5" spans="1:6" ht="14.25" customHeight="1" x14ac:dyDescent="0.3">
      <c r="A5" s="25"/>
      <c r="B5" s="25"/>
      <c r="C5" s="25"/>
      <c r="D5" s="25"/>
      <c r="E5" s="25"/>
      <c r="F5" s="25"/>
    </row>
    <row r="6" spans="1:6" ht="14.25" customHeight="1" x14ac:dyDescent="0.3"/>
    <row r="7" spans="1:6" ht="14.25" customHeight="1" x14ac:dyDescent="0.3"/>
    <row r="8" spans="1:6" ht="14.25" customHeight="1" x14ac:dyDescent="0.3"/>
    <row r="9" spans="1:6" ht="14.25" customHeight="1" x14ac:dyDescent="0.3"/>
    <row r="10" spans="1:6" ht="14.25" customHeight="1" x14ac:dyDescent="0.3"/>
    <row r="11" spans="1:6" ht="14.25" customHeight="1" x14ac:dyDescent="0.3"/>
    <row r="12" spans="1:6" ht="14.25" customHeight="1" x14ac:dyDescent="0.3"/>
    <row r="13" spans="1:6" ht="14.25" customHeight="1" x14ac:dyDescent="0.3"/>
    <row r="14" spans="1:6" ht="14.25" customHeight="1" x14ac:dyDescent="0.3"/>
    <row r="15" spans="1:6" ht="14.25" customHeight="1" x14ac:dyDescent="0.3"/>
    <row r="16" spans="1:6"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sheetProtection sheet="1" objects="1" scenarios="1"/>
  <pageMargins left="0.7" right="0.7" top="0.75" bottom="0.75" header="0" footer="0"/>
  <pageSetup paperSize="9"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34"/>
  <dimension ref="A1:F1000"/>
  <sheetViews>
    <sheetView workbookViewId="0"/>
  </sheetViews>
  <sheetFormatPr baseColWidth="10" defaultColWidth="14.44140625" defaultRowHeight="15" customHeight="1" x14ac:dyDescent="0.3"/>
  <cols>
    <col min="1" max="1" width="14.44140625" customWidth="1"/>
    <col min="2" max="2" width="10.6640625" customWidth="1"/>
    <col min="3" max="3" width="13.6640625" customWidth="1"/>
    <col min="4" max="6" width="10.6640625" customWidth="1"/>
  </cols>
  <sheetData>
    <row r="1" spans="1:6" ht="14.25" customHeight="1" x14ac:dyDescent="0.3">
      <c r="A1" s="3" t="s">
        <v>355</v>
      </c>
      <c r="B1" s="146" t="s">
        <v>338</v>
      </c>
      <c r="C1" s="146" t="s">
        <v>340</v>
      </c>
      <c r="D1" s="146" t="s">
        <v>353</v>
      </c>
      <c r="E1" s="146" t="s">
        <v>8</v>
      </c>
      <c r="F1" s="146" t="s">
        <v>354</v>
      </c>
    </row>
    <row r="2" spans="1:6" ht="14.25" customHeight="1" x14ac:dyDescent="0.3">
      <c r="A2" s="25" t="s">
        <v>884</v>
      </c>
      <c r="B2" s="25" t="s">
        <v>885</v>
      </c>
      <c r="C2" s="25">
        <v>250</v>
      </c>
      <c r="D2" s="25" t="s">
        <v>394</v>
      </c>
      <c r="E2" s="25" t="s">
        <v>187</v>
      </c>
      <c r="F2" s="25" t="s">
        <v>151</v>
      </c>
    </row>
    <row r="3" spans="1:6" ht="14.25" customHeight="1" x14ac:dyDescent="0.3">
      <c r="A3" s="25"/>
      <c r="B3" s="25"/>
      <c r="C3" s="25"/>
      <c r="D3" s="25"/>
      <c r="E3" s="25"/>
      <c r="F3" s="25"/>
    </row>
    <row r="4" spans="1:6" ht="14.25" customHeight="1" x14ac:dyDescent="0.3">
      <c r="A4" s="25"/>
      <c r="B4" s="25"/>
      <c r="C4" s="25"/>
      <c r="D4" s="25"/>
      <c r="E4" s="25"/>
      <c r="F4" s="25"/>
    </row>
    <row r="5" spans="1:6" ht="14.25" customHeight="1" x14ac:dyDescent="0.3">
      <c r="A5" s="25"/>
      <c r="B5" s="25"/>
      <c r="C5" s="25"/>
      <c r="D5" s="25"/>
      <c r="E5" s="25"/>
      <c r="F5" s="25"/>
    </row>
    <row r="6" spans="1:6" ht="14.25" customHeight="1" x14ac:dyDescent="0.3"/>
    <row r="7" spans="1:6" ht="14.25" customHeight="1" x14ac:dyDescent="0.3"/>
    <row r="8" spans="1:6" ht="14.25" customHeight="1" x14ac:dyDescent="0.3"/>
    <row r="9" spans="1:6" ht="14.25" customHeight="1" x14ac:dyDescent="0.3"/>
    <row r="10" spans="1:6" ht="14.25" customHeight="1" x14ac:dyDescent="0.3"/>
    <row r="11" spans="1:6" ht="14.25" customHeight="1" x14ac:dyDescent="0.3"/>
    <row r="12" spans="1:6" ht="14.25" customHeight="1" x14ac:dyDescent="0.3"/>
    <row r="13" spans="1:6" ht="14.25" customHeight="1" x14ac:dyDescent="0.3"/>
    <row r="14" spans="1:6" ht="14.25" customHeight="1" x14ac:dyDescent="0.3"/>
    <row r="15" spans="1:6" ht="14.25" customHeight="1" x14ac:dyDescent="0.3"/>
    <row r="16" spans="1:6"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sheetProtection sheet="1" objects="1" scenarios="1"/>
  <pageMargins left="0.7" right="0.7" top="0.75" bottom="0.75" header="0" footer="0"/>
  <pageSetup paperSize="9"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39"/>
  <dimension ref="A1:G1000"/>
  <sheetViews>
    <sheetView workbookViewId="0"/>
  </sheetViews>
  <sheetFormatPr baseColWidth="10" defaultColWidth="14.44140625" defaultRowHeight="15" customHeight="1" x14ac:dyDescent="0.3"/>
  <cols>
    <col min="1" max="1" width="14.44140625" customWidth="1"/>
    <col min="2" max="2" width="13.44140625" customWidth="1"/>
    <col min="3" max="3" width="10.6640625" customWidth="1"/>
    <col min="4" max="4" width="13.6640625" customWidth="1"/>
    <col min="5" max="5" width="10.6640625" customWidth="1"/>
    <col min="6" max="6" width="22.6640625" customWidth="1"/>
    <col min="7" max="7" width="20.33203125" customWidth="1"/>
  </cols>
  <sheetData>
    <row r="1" spans="1:7" ht="14.25" customHeight="1" x14ac:dyDescent="0.3">
      <c r="A1" s="3" t="s">
        <v>355</v>
      </c>
      <c r="B1" s="146" t="s">
        <v>338</v>
      </c>
      <c r="C1" s="146" t="s">
        <v>356</v>
      </c>
      <c r="D1" s="146" t="s">
        <v>353</v>
      </c>
      <c r="E1" s="146" t="s">
        <v>8</v>
      </c>
      <c r="F1" s="146" t="s">
        <v>357</v>
      </c>
      <c r="G1" s="146" t="s">
        <v>358</v>
      </c>
    </row>
    <row r="2" spans="1:7" ht="14.25" customHeight="1" x14ac:dyDescent="0.3">
      <c r="A2" s="25" t="s">
        <v>884</v>
      </c>
      <c r="B2" s="25" t="s">
        <v>885</v>
      </c>
      <c r="C2" s="25">
        <v>250</v>
      </c>
      <c r="D2" s="25" t="s">
        <v>394</v>
      </c>
      <c r="E2" s="25" t="s">
        <v>187</v>
      </c>
      <c r="F2" s="25" t="s">
        <v>151</v>
      </c>
      <c r="G2" s="25" t="s">
        <v>151</v>
      </c>
    </row>
    <row r="3" spans="1:7" ht="14.25" customHeight="1" x14ac:dyDescent="0.3">
      <c r="A3" s="25"/>
      <c r="B3" s="25"/>
      <c r="C3" s="25"/>
      <c r="D3" s="25"/>
      <c r="E3" s="25"/>
      <c r="F3" s="25"/>
      <c r="G3" s="25"/>
    </row>
    <row r="4" spans="1:7" ht="14.25" customHeight="1" x14ac:dyDescent="0.3">
      <c r="A4" s="25"/>
      <c r="B4" s="25"/>
      <c r="C4" s="25"/>
      <c r="D4" s="25"/>
      <c r="E4" s="25"/>
      <c r="F4" s="25"/>
      <c r="G4" s="25"/>
    </row>
    <row r="5" spans="1:7" ht="14.25" customHeight="1" x14ac:dyDescent="0.3">
      <c r="A5" s="25"/>
      <c r="B5" s="25"/>
      <c r="C5" s="25"/>
      <c r="D5" s="25"/>
      <c r="E5" s="25"/>
      <c r="F5" s="25"/>
      <c r="G5" s="25"/>
    </row>
    <row r="6" spans="1:7" ht="14.25" customHeight="1" x14ac:dyDescent="0.3"/>
    <row r="7" spans="1:7" ht="14.25" customHeight="1" x14ac:dyDescent="0.3"/>
    <row r="8" spans="1:7" ht="14.25" customHeight="1" x14ac:dyDescent="0.3"/>
    <row r="9" spans="1:7" ht="14.25" customHeight="1" x14ac:dyDescent="0.3"/>
    <row r="10" spans="1:7" ht="14.25" customHeight="1" x14ac:dyDescent="0.3"/>
    <row r="11" spans="1:7" ht="14.25" customHeight="1" x14ac:dyDescent="0.3"/>
    <row r="12" spans="1:7" ht="14.25" customHeight="1" x14ac:dyDescent="0.3"/>
    <row r="13" spans="1:7" ht="14.25" customHeight="1" x14ac:dyDescent="0.3"/>
    <row r="14" spans="1:7" ht="14.25" customHeight="1" x14ac:dyDescent="0.3"/>
    <row r="15" spans="1:7" ht="14.25" customHeight="1" x14ac:dyDescent="0.3"/>
    <row r="16" spans="1:7"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sheetProtection sheet="1" objects="1" scenarios="1"/>
  <pageMargins left="0.7" right="0.7" top="0.75" bottom="0.75" header="0" footer="0"/>
  <pageSetup paperSize="9"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35"/>
  <dimension ref="A1:G1000"/>
  <sheetViews>
    <sheetView workbookViewId="0"/>
  </sheetViews>
  <sheetFormatPr baseColWidth="10" defaultColWidth="14.44140625" defaultRowHeight="15" customHeight="1" x14ac:dyDescent="0.3"/>
  <cols>
    <col min="1" max="1" width="14.44140625" customWidth="1"/>
    <col min="2" max="2" width="16.33203125" customWidth="1"/>
    <col min="3" max="3" width="10.6640625" customWidth="1"/>
    <col min="4" max="4" width="13.6640625" customWidth="1"/>
    <col min="5" max="7" width="10.6640625" customWidth="1"/>
  </cols>
  <sheetData>
    <row r="1" spans="1:7" ht="14.25" customHeight="1" x14ac:dyDescent="0.3">
      <c r="A1" s="3" t="s">
        <v>355</v>
      </c>
      <c r="B1" s="146" t="s">
        <v>338</v>
      </c>
      <c r="C1" s="146" t="s">
        <v>340</v>
      </c>
      <c r="D1" s="146" t="s">
        <v>353</v>
      </c>
      <c r="E1" s="146" t="s">
        <v>8</v>
      </c>
      <c r="F1" s="146" t="s">
        <v>354</v>
      </c>
      <c r="G1" s="146" t="s">
        <v>359</v>
      </c>
    </row>
    <row r="2" spans="1:7" ht="14.25" customHeight="1" x14ac:dyDescent="0.3">
      <c r="A2" s="25" t="s">
        <v>884</v>
      </c>
      <c r="B2" s="25" t="s">
        <v>885</v>
      </c>
      <c r="C2" s="25">
        <v>250</v>
      </c>
      <c r="D2" s="25" t="s">
        <v>394</v>
      </c>
      <c r="E2" s="25" t="s">
        <v>187</v>
      </c>
      <c r="F2" s="25" t="s">
        <v>150</v>
      </c>
      <c r="G2" s="25">
        <v>1</v>
      </c>
    </row>
    <row r="3" spans="1:7" ht="14.25" customHeight="1" x14ac:dyDescent="0.3">
      <c r="A3" s="25"/>
      <c r="B3" s="25"/>
      <c r="C3" s="25"/>
      <c r="D3" s="25"/>
      <c r="E3" s="25"/>
      <c r="F3" s="25"/>
      <c r="G3" s="25"/>
    </row>
    <row r="4" spans="1:7" ht="14.25" customHeight="1" x14ac:dyDescent="0.3">
      <c r="A4" s="25"/>
      <c r="B4" s="25"/>
      <c r="C4" s="25"/>
      <c r="D4" s="25"/>
      <c r="E4" s="25"/>
      <c r="F4" s="25"/>
      <c r="G4" s="25"/>
    </row>
    <row r="5" spans="1:7" ht="14.25" customHeight="1" x14ac:dyDescent="0.3">
      <c r="A5" s="25"/>
      <c r="B5" s="25"/>
      <c r="C5" s="25"/>
      <c r="D5" s="25"/>
      <c r="E5" s="25"/>
      <c r="F5" s="25"/>
      <c r="G5" s="25"/>
    </row>
    <row r="6" spans="1:7" ht="14.25" customHeight="1" x14ac:dyDescent="0.3"/>
    <row r="7" spans="1:7" ht="14.25" customHeight="1" x14ac:dyDescent="0.3"/>
    <row r="8" spans="1:7" ht="14.25" customHeight="1" x14ac:dyDescent="0.3"/>
    <row r="9" spans="1:7" ht="14.25" customHeight="1" x14ac:dyDescent="0.3"/>
    <row r="10" spans="1:7" ht="14.25" customHeight="1" x14ac:dyDescent="0.3"/>
    <row r="11" spans="1:7" ht="14.25" customHeight="1" x14ac:dyDescent="0.3"/>
    <row r="12" spans="1:7" ht="14.25" customHeight="1" x14ac:dyDescent="0.3"/>
    <row r="13" spans="1:7" ht="14.25" customHeight="1" x14ac:dyDescent="0.3"/>
    <row r="14" spans="1:7" ht="14.25" customHeight="1" x14ac:dyDescent="0.3"/>
    <row r="15" spans="1:7" ht="14.25" customHeight="1" x14ac:dyDescent="0.3"/>
    <row r="16" spans="1:7"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sheetProtection sheet="1" objects="1" scenarios="1"/>
  <pageMargins left="0.7" right="0.7" top="0.75" bottom="0.75" header="0" footer="0"/>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Hoja36"/>
  <dimension ref="A1:G1000"/>
  <sheetViews>
    <sheetView workbookViewId="0"/>
  </sheetViews>
  <sheetFormatPr baseColWidth="10" defaultColWidth="14.44140625" defaultRowHeight="15" customHeight="1" x14ac:dyDescent="0.3"/>
  <cols>
    <col min="1" max="1" width="14.44140625" customWidth="1"/>
    <col min="2" max="2" width="13.44140625" customWidth="1"/>
    <col min="3" max="3" width="10.6640625" customWidth="1"/>
    <col min="4" max="4" width="13.6640625" customWidth="1"/>
    <col min="5" max="7" width="10.6640625" customWidth="1"/>
  </cols>
  <sheetData>
    <row r="1" spans="1:7" ht="14.25" customHeight="1" x14ac:dyDescent="0.3">
      <c r="A1" s="3" t="s">
        <v>355</v>
      </c>
      <c r="B1" s="146" t="s">
        <v>338</v>
      </c>
      <c r="C1" s="146" t="s">
        <v>340</v>
      </c>
      <c r="D1" s="146" t="s">
        <v>353</v>
      </c>
      <c r="E1" s="146" t="s">
        <v>8</v>
      </c>
      <c r="F1" s="146" t="s">
        <v>354</v>
      </c>
      <c r="G1" s="146" t="s">
        <v>360</v>
      </c>
    </row>
    <row r="2" spans="1:7" ht="14.25" customHeight="1" x14ac:dyDescent="0.3">
      <c r="A2" s="25" t="s">
        <v>884</v>
      </c>
      <c r="B2" s="25" t="s">
        <v>885</v>
      </c>
      <c r="C2" s="25">
        <v>250</v>
      </c>
      <c r="D2" s="25" t="s">
        <v>394</v>
      </c>
      <c r="E2" s="25" t="s">
        <v>187</v>
      </c>
      <c r="F2" s="25" t="s">
        <v>151</v>
      </c>
      <c r="G2" s="25" t="s">
        <v>152</v>
      </c>
    </row>
    <row r="3" spans="1:7" ht="14.25" customHeight="1" x14ac:dyDescent="0.3">
      <c r="A3" s="25"/>
      <c r="B3" s="25"/>
      <c r="C3" s="25"/>
      <c r="D3" s="25"/>
      <c r="E3" s="25"/>
      <c r="F3" s="25"/>
      <c r="G3" s="25"/>
    </row>
    <row r="4" spans="1:7" ht="14.25" customHeight="1" x14ac:dyDescent="0.3">
      <c r="A4" s="25"/>
      <c r="B4" s="25"/>
      <c r="C4" s="25"/>
      <c r="D4" s="25"/>
      <c r="E4" s="25"/>
      <c r="F4" s="25"/>
      <c r="G4" s="25"/>
    </row>
    <row r="5" spans="1:7" ht="14.25" customHeight="1" x14ac:dyDescent="0.3">
      <c r="A5" s="25"/>
      <c r="B5" s="25"/>
      <c r="C5" s="25"/>
      <c r="D5" s="25"/>
      <c r="E5" s="25"/>
      <c r="F5" s="25"/>
      <c r="G5" s="25"/>
    </row>
    <row r="6" spans="1:7" ht="14.25" customHeight="1" x14ac:dyDescent="0.3"/>
    <row r="7" spans="1:7" ht="14.25" customHeight="1" x14ac:dyDescent="0.3"/>
    <row r="8" spans="1:7" ht="14.25" customHeight="1" x14ac:dyDescent="0.3"/>
    <row r="9" spans="1:7" ht="14.25" customHeight="1" x14ac:dyDescent="0.3"/>
    <row r="10" spans="1:7" ht="14.25" customHeight="1" x14ac:dyDescent="0.3"/>
    <row r="11" spans="1:7" ht="14.25" customHeight="1" x14ac:dyDescent="0.3"/>
    <row r="12" spans="1:7" ht="14.25" customHeight="1" x14ac:dyDescent="0.3"/>
    <row r="13" spans="1:7" ht="14.25" customHeight="1" x14ac:dyDescent="0.3"/>
    <row r="14" spans="1:7" ht="14.25" customHeight="1" x14ac:dyDescent="0.3"/>
    <row r="15" spans="1:7" ht="14.25" customHeight="1" x14ac:dyDescent="0.3"/>
    <row r="16" spans="1:7"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sheetProtection sheet="1" objects="1" scenarios="1"/>
  <pageMargins left="0.7" right="0.7" top="0.75" bottom="0.75" header="0" footer="0"/>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Hoja38"/>
  <dimension ref="A1:F1000"/>
  <sheetViews>
    <sheetView workbookViewId="0"/>
  </sheetViews>
  <sheetFormatPr baseColWidth="10" defaultColWidth="14.44140625" defaultRowHeight="15" customHeight="1" x14ac:dyDescent="0.3"/>
  <cols>
    <col min="1" max="1" width="14.44140625" customWidth="1"/>
    <col min="2" max="2" width="13.44140625" customWidth="1"/>
    <col min="3" max="3" width="10.6640625" customWidth="1"/>
    <col min="4" max="4" width="13.6640625" customWidth="1"/>
    <col min="5" max="6" width="10.6640625" customWidth="1"/>
  </cols>
  <sheetData>
    <row r="1" spans="1:6" ht="14.25" customHeight="1" x14ac:dyDescent="0.3">
      <c r="A1" s="3" t="s">
        <v>355</v>
      </c>
      <c r="B1" s="146" t="s">
        <v>338</v>
      </c>
      <c r="C1" s="146" t="s">
        <v>340</v>
      </c>
      <c r="D1" s="146" t="s">
        <v>353</v>
      </c>
      <c r="E1" s="146" t="s">
        <v>8</v>
      </c>
      <c r="F1" s="146" t="s">
        <v>354</v>
      </c>
    </row>
    <row r="2" spans="1:6" ht="14.25" customHeight="1" x14ac:dyDescent="0.3">
      <c r="A2" s="25" t="s">
        <v>884</v>
      </c>
      <c r="B2" s="25" t="s">
        <v>885</v>
      </c>
      <c r="C2" s="25">
        <v>250</v>
      </c>
      <c r="D2" s="25" t="s">
        <v>394</v>
      </c>
      <c r="E2" s="25" t="s">
        <v>187</v>
      </c>
      <c r="F2" s="25" t="s">
        <v>151</v>
      </c>
    </row>
    <row r="3" spans="1:6" ht="14.25" customHeight="1" x14ac:dyDescent="0.3">
      <c r="A3" s="25"/>
      <c r="B3" s="25"/>
      <c r="C3" s="25"/>
      <c r="D3" s="25"/>
      <c r="E3" s="25"/>
      <c r="F3" s="25"/>
    </row>
    <row r="4" spans="1:6" ht="14.25" customHeight="1" x14ac:dyDescent="0.3">
      <c r="A4" s="25"/>
      <c r="B4" s="25"/>
      <c r="C4" s="25"/>
      <c r="D4" s="25"/>
      <c r="E4" s="25"/>
      <c r="F4" s="25"/>
    </row>
    <row r="5" spans="1:6" ht="14.25" customHeight="1" x14ac:dyDescent="0.3">
      <c r="A5" s="25"/>
      <c r="B5" s="25"/>
      <c r="C5" s="25"/>
      <c r="D5" s="25"/>
      <c r="E5" s="25"/>
      <c r="F5" s="25"/>
    </row>
    <row r="6" spans="1:6" ht="14.25" customHeight="1" x14ac:dyDescent="0.3"/>
    <row r="7" spans="1:6" ht="14.25" customHeight="1" x14ac:dyDescent="0.3"/>
    <row r="8" spans="1:6" ht="14.25" customHeight="1" x14ac:dyDescent="0.3"/>
    <row r="9" spans="1:6" ht="14.25" customHeight="1" x14ac:dyDescent="0.3"/>
    <row r="10" spans="1:6" ht="14.25" customHeight="1" x14ac:dyDescent="0.3"/>
    <row r="11" spans="1:6" ht="14.25" customHeight="1" x14ac:dyDescent="0.3"/>
    <row r="12" spans="1:6" ht="14.25" customHeight="1" x14ac:dyDescent="0.3"/>
    <row r="13" spans="1:6" ht="14.25" customHeight="1" x14ac:dyDescent="0.3"/>
    <row r="14" spans="1:6" ht="14.25" customHeight="1" x14ac:dyDescent="0.3"/>
    <row r="15" spans="1:6" ht="14.25" customHeight="1" x14ac:dyDescent="0.3"/>
    <row r="16" spans="1:6"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sheetProtection sheet="1" objects="1" scenarios="1"/>
  <pageMargins left="0.7" right="0.7" top="0.75" bottom="0.75" header="0" footer="0"/>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Hoja37"/>
  <dimension ref="A1:F1000"/>
  <sheetViews>
    <sheetView workbookViewId="0"/>
  </sheetViews>
  <sheetFormatPr baseColWidth="10" defaultColWidth="14.44140625" defaultRowHeight="15" customHeight="1" x14ac:dyDescent="0.3"/>
  <cols>
    <col min="1" max="1" width="14.44140625" customWidth="1"/>
    <col min="2" max="2" width="13.44140625" customWidth="1"/>
    <col min="3" max="3" width="10.6640625" customWidth="1"/>
    <col min="4" max="4" width="13.6640625" customWidth="1"/>
    <col min="5" max="6" width="10.6640625" customWidth="1"/>
  </cols>
  <sheetData>
    <row r="1" spans="1:6" ht="14.25" customHeight="1" x14ac:dyDescent="0.3">
      <c r="A1" s="3" t="s">
        <v>355</v>
      </c>
      <c r="B1" s="146" t="s">
        <v>338</v>
      </c>
      <c r="C1" s="146" t="s">
        <v>340</v>
      </c>
      <c r="D1" s="146" t="s">
        <v>353</v>
      </c>
      <c r="E1" s="146" t="s">
        <v>8</v>
      </c>
      <c r="F1" s="146" t="s">
        <v>354</v>
      </c>
    </row>
    <row r="2" spans="1:6" ht="14.25" customHeight="1" x14ac:dyDescent="0.3">
      <c r="A2" s="25" t="s">
        <v>884</v>
      </c>
      <c r="B2" s="25" t="s">
        <v>885</v>
      </c>
      <c r="C2" s="25">
        <v>250</v>
      </c>
      <c r="D2" s="25" t="s">
        <v>394</v>
      </c>
      <c r="E2" s="25" t="s">
        <v>187</v>
      </c>
      <c r="F2" s="25" t="s">
        <v>150</v>
      </c>
    </row>
    <row r="3" spans="1:6" ht="14.25" customHeight="1" x14ac:dyDescent="0.3">
      <c r="A3" s="25"/>
      <c r="B3" s="25"/>
      <c r="C3" s="25"/>
      <c r="D3" s="25"/>
      <c r="E3" s="25"/>
      <c r="F3" s="25"/>
    </row>
    <row r="4" spans="1:6" ht="14.25" customHeight="1" x14ac:dyDescent="0.3">
      <c r="A4" s="25"/>
      <c r="B4" s="25"/>
      <c r="C4" s="25"/>
      <c r="D4" s="25"/>
      <c r="E4" s="25"/>
      <c r="F4" s="25"/>
    </row>
    <row r="5" spans="1:6" ht="14.25" customHeight="1" x14ac:dyDescent="0.3">
      <c r="A5" s="25"/>
      <c r="B5" s="25"/>
      <c r="C5" s="25"/>
      <c r="D5" s="25"/>
      <c r="E5" s="25"/>
      <c r="F5" s="25"/>
    </row>
    <row r="6" spans="1:6" ht="14.25" customHeight="1" x14ac:dyDescent="0.3"/>
    <row r="7" spans="1:6" ht="14.25" customHeight="1" x14ac:dyDescent="0.3"/>
    <row r="8" spans="1:6" ht="14.25" customHeight="1" x14ac:dyDescent="0.3"/>
    <row r="9" spans="1:6" ht="14.25" customHeight="1" x14ac:dyDescent="0.3"/>
    <row r="10" spans="1:6" ht="14.25" customHeight="1" x14ac:dyDescent="0.3"/>
    <row r="11" spans="1:6" ht="14.25" customHeight="1" x14ac:dyDescent="0.3"/>
    <row r="12" spans="1:6" ht="14.25" customHeight="1" x14ac:dyDescent="0.3"/>
    <row r="13" spans="1:6" ht="14.25" customHeight="1" x14ac:dyDescent="0.3"/>
    <row r="14" spans="1:6" ht="14.25" customHeight="1" x14ac:dyDescent="0.3"/>
    <row r="15" spans="1:6" ht="14.25" customHeight="1" x14ac:dyDescent="0.3"/>
    <row r="16" spans="1:6"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sheetProtection sheet="1" objects="1" scenarios="1"/>
  <pageMargins left="0.7" right="0.7" top="0.75" bottom="0.75" header="0" footer="0"/>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Hoja41"/>
  <dimension ref="A1:E1000"/>
  <sheetViews>
    <sheetView workbookViewId="0"/>
  </sheetViews>
  <sheetFormatPr baseColWidth="10" defaultColWidth="14.44140625" defaultRowHeight="15" customHeight="1" x14ac:dyDescent="0.3"/>
  <cols>
    <col min="1" max="1" width="14.44140625" customWidth="1"/>
    <col min="2" max="2" width="13.44140625" customWidth="1"/>
    <col min="3" max="3" width="10.6640625" customWidth="1"/>
    <col min="4" max="4" width="20.109375" customWidth="1"/>
    <col min="5" max="6" width="10.6640625" customWidth="1"/>
  </cols>
  <sheetData>
    <row r="1" spans="1:5" ht="21" customHeight="1" x14ac:dyDescent="0.3">
      <c r="A1" s="3" t="s">
        <v>355</v>
      </c>
      <c r="B1" s="146" t="s">
        <v>338</v>
      </c>
      <c r="C1" s="146" t="s">
        <v>340</v>
      </c>
      <c r="D1" s="146" t="s">
        <v>353</v>
      </c>
      <c r="E1" s="146" t="s">
        <v>354</v>
      </c>
    </row>
    <row r="2" spans="1:5" ht="14.25" customHeight="1" x14ac:dyDescent="0.3">
      <c r="A2" s="25" t="s">
        <v>884</v>
      </c>
      <c r="B2" s="25" t="s">
        <v>885</v>
      </c>
      <c r="C2" s="25">
        <v>250</v>
      </c>
      <c r="D2" s="25" t="s">
        <v>394</v>
      </c>
      <c r="E2" s="25" t="s">
        <v>151</v>
      </c>
    </row>
    <row r="3" spans="1:5" ht="14.25" customHeight="1" x14ac:dyDescent="0.3">
      <c r="A3" s="25"/>
      <c r="B3" s="25"/>
      <c r="C3" s="25"/>
      <c r="D3" s="25"/>
      <c r="E3" s="25"/>
    </row>
    <row r="4" spans="1:5" ht="14.25" customHeight="1" x14ac:dyDescent="0.3">
      <c r="A4" s="25"/>
      <c r="B4" s="25"/>
      <c r="C4" s="25"/>
      <c r="D4" s="25"/>
      <c r="E4" s="25"/>
    </row>
    <row r="5" spans="1:5" ht="14.25" customHeight="1" x14ac:dyDescent="0.3">
      <c r="A5" s="25"/>
      <c r="B5" s="25"/>
      <c r="C5" s="25"/>
      <c r="D5" s="25"/>
      <c r="E5" s="25"/>
    </row>
    <row r="6" spans="1:5" ht="14.25" customHeight="1" x14ac:dyDescent="0.3"/>
    <row r="7" spans="1:5" ht="14.25" customHeight="1" x14ac:dyDescent="0.3"/>
    <row r="8" spans="1:5" ht="14.25" customHeight="1" x14ac:dyDescent="0.3"/>
    <row r="9" spans="1:5" ht="14.25" customHeight="1" x14ac:dyDescent="0.3"/>
    <row r="10" spans="1:5" ht="14.25" customHeight="1" x14ac:dyDescent="0.3"/>
    <row r="11" spans="1:5" ht="14.25" customHeight="1" x14ac:dyDescent="0.3"/>
    <row r="12" spans="1:5" ht="14.25" customHeight="1" x14ac:dyDescent="0.3"/>
    <row r="13" spans="1:5" ht="14.25" customHeight="1" x14ac:dyDescent="0.3"/>
    <row r="14" spans="1:5" ht="14.25" customHeight="1" x14ac:dyDescent="0.3"/>
    <row r="15" spans="1:5" ht="14.25" customHeight="1" x14ac:dyDescent="0.3"/>
    <row r="16" spans="1:5"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sheetProtection sheet="1" objects="1" scenarios="1"/>
  <pageMargins left="0.7" right="0.7" top="0.75" bottom="0.75" header="0" footer="0"/>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Hoja2"/>
  <dimension ref="A1:O1000"/>
  <sheetViews>
    <sheetView workbookViewId="0"/>
  </sheetViews>
  <sheetFormatPr baseColWidth="10" defaultColWidth="14.44140625" defaultRowHeight="15" customHeight="1" x14ac:dyDescent="0.3"/>
  <cols>
    <col min="1" max="1" width="10.6640625" customWidth="1"/>
    <col min="2" max="2" width="24.5546875" customWidth="1"/>
    <col min="3" max="3" width="10.6640625" customWidth="1"/>
    <col min="4" max="4" width="14.109375" customWidth="1"/>
    <col min="5" max="5" width="15" customWidth="1"/>
    <col min="6" max="6" width="17.33203125" customWidth="1"/>
    <col min="7" max="7" width="19.5546875" customWidth="1"/>
    <col min="8" max="8" width="19.33203125" customWidth="1"/>
    <col min="9" max="9" width="15.6640625" customWidth="1"/>
    <col min="10" max="10" width="10.6640625" customWidth="1"/>
    <col min="11" max="11" width="26.33203125" customWidth="1"/>
    <col min="12" max="12" width="10.6640625" customWidth="1"/>
    <col min="13" max="13" width="120.88671875" customWidth="1"/>
    <col min="14" max="14" width="10.6640625" customWidth="1"/>
    <col min="15" max="15" width="255.6640625" customWidth="1"/>
  </cols>
  <sheetData>
    <row r="1" spans="1:15" ht="14.25" customHeight="1" x14ac:dyDescent="0.3">
      <c r="A1" s="25" t="s">
        <v>361</v>
      </c>
    </row>
    <row r="2" spans="1:15" ht="14.25" customHeight="1" x14ac:dyDescent="0.3">
      <c r="A2" s="147" t="s">
        <v>362</v>
      </c>
      <c r="B2" s="148" t="s">
        <v>363</v>
      </c>
      <c r="C2" s="148" t="s">
        <v>364</v>
      </c>
      <c r="D2" s="148" t="s">
        <v>365</v>
      </c>
      <c r="E2" s="149" t="s">
        <v>366</v>
      </c>
      <c r="G2" s="150" t="s">
        <v>353</v>
      </c>
      <c r="H2" s="151" t="s">
        <v>367</v>
      </c>
      <c r="O2" s="152" t="s">
        <v>368</v>
      </c>
    </row>
    <row r="3" spans="1:15" ht="66" customHeight="1" x14ac:dyDescent="0.3">
      <c r="A3" s="153" t="s">
        <v>369</v>
      </c>
      <c r="B3" s="154">
        <v>2000</v>
      </c>
      <c r="C3" s="154">
        <v>6000</v>
      </c>
      <c r="D3" s="154">
        <v>12000</v>
      </c>
      <c r="E3" s="155" t="s">
        <v>370</v>
      </c>
      <c r="G3" s="156" t="s">
        <v>371</v>
      </c>
      <c r="H3" s="157" t="s">
        <v>365</v>
      </c>
      <c r="O3" s="158" t="s">
        <v>372</v>
      </c>
    </row>
    <row r="4" spans="1:15" ht="14.25" customHeight="1" x14ac:dyDescent="0.3">
      <c r="A4" s="153" t="s">
        <v>373</v>
      </c>
      <c r="B4" s="154">
        <v>1000</v>
      </c>
      <c r="C4" s="154">
        <v>4000</v>
      </c>
      <c r="D4" s="154">
        <v>8000</v>
      </c>
      <c r="E4" s="159">
        <v>12000</v>
      </c>
      <c r="G4" s="160" t="s">
        <v>340</v>
      </c>
      <c r="H4" s="161">
        <f t="array" ref="H4">INDEX(B3:E10, MATCH(H2, A3:A10, 0), MATCH(H3, B2:E2, 0))</f>
        <v>7000</v>
      </c>
      <c r="O4" s="152" t="s">
        <v>28</v>
      </c>
    </row>
    <row r="5" spans="1:15" ht="14.25" customHeight="1" x14ac:dyDescent="0.3">
      <c r="A5" s="153" t="s">
        <v>367</v>
      </c>
      <c r="B5" s="162">
        <v>500</v>
      </c>
      <c r="C5" s="154">
        <v>3500</v>
      </c>
      <c r="D5" s="154">
        <v>7000</v>
      </c>
      <c r="E5" s="159">
        <v>10000</v>
      </c>
      <c r="O5" s="158" t="s">
        <v>374</v>
      </c>
    </row>
    <row r="6" spans="1:15" ht="14.25" customHeight="1" x14ac:dyDescent="0.3">
      <c r="A6" s="153" t="s">
        <v>375</v>
      </c>
      <c r="B6" s="162">
        <v>400</v>
      </c>
      <c r="C6" s="154">
        <v>3000</v>
      </c>
      <c r="D6" s="154">
        <v>6000</v>
      </c>
      <c r="E6" s="159">
        <v>8000</v>
      </c>
    </row>
    <row r="7" spans="1:15" ht="14.25" customHeight="1" x14ac:dyDescent="0.3">
      <c r="A7" s="153" t="s">
        <v>376</v>
      </c>
      <c r="B7" s="162">
        <v>300</v>
      </c>
      <c r="C7" s="154">
        <v>2500</v>
      </c>
      <c r="D7" s="154">
        <v>5000</v>
      </c>
      <c r="E7" s="159">
        <v>7000</v>
      </c>
    </row>
    <row r="8" spans="1:15" ht="14.25" customHeight="1" x14ac:dyDescent="0.3">
      <c r="A8" s="153" t="s">
        <v>377</v>
      </c>
      <c r="B8" s="163" t="s">
        <v>378</v>
      </c>
      <c r="C8" s="154">
        <v>2000</v>
      </c>
      <c r="D8" s="154">
        <v>4000</v>
      </c>
      <c r="E8" s="159">
        <v>6000</v>
      </c>
    </row>
    <row r="9" spans="1:15" ht="14.25" customHeight="1" x14ac:dyDescent="0.3">
      <c r="A9" s="153" t="s">
        <v>379</v>
      </c>
      <c r="B9" s="163" t="s">
        <v>378</v>
      </c>
      <c r="C9" s="154">
        <v>1500</v>
      </c>
      <c r="D9" s="154">
        <v>3000</v>
      </c>
      <c r="E9" s="159">
        <v>5000</v>
      </c>
    </row>
    <row r="10" spans="1:15" ht="14.25" customHeight="1" x14ac:dyDescent="0.3">
      <c r="A10" s="164" t="s">
        <v>380</v>
      </c>
      <c r="B10" s="165" t="s">
        <v>378</v>
      </c>
      <c r="C10" s="165" t="s">
        <v>378</v>
      </c>
      <c r="D10" s="165" t="s">
        <v>378</v>
      </c>
      <c r="E10" s="166">
        <v>4000</v>
      </c>
      <c r="O10" s="152" t="s">
        <v>381</v>
      </c>
    </row>
    <row r="11" spans="1:15" ht="48.75" customHeight="1" x14ac:dyDescent="0.3">
      <c r="O11" s="158" t="s">
        <v>382</v>
      </c>
    </row>
    <row r="12" spans="1:15" ht="14.25" customHeight="1" x14ac:dyDescent="0.3">
      <c r="O12" s="152" t="s">
        <v>383</v>
      </c>
    </row>
    <row r="13" spans="1:15" ht="212.25" customHeight="1" x14ac:dyDescent="0.3">
      <c r="O13" s="158" t="s">
        <v>384</v>
      </c>
    </row>
    <row r="14" spans="1:15" ht="14.25" customHeight="1" x14ac:dyDescent="0.3"/>
    <row r="15" spans="1:15" ht="14.25" customHeight="1" x14ac:dyDescent="0.3"/>
    <row r="16" spans="1:15" ht="14.25" customHeight="1" x14ac:dyDescent="0.3">
      <c r="A16" s="167" t="s">
        <v>385</v>
      </c>
      <c r="B16" s="168" t="s">
        <v>386</v>
      </c>
      <c r="C16" s="168" t="s">
        <v>387</v>
      </c>
      <c r="D16" s="168" t="s">
        <v>388</v>
      </c>
      <c r="E16" s="168" t="s">
        <v>340</v>
      </c>
      <c r="F16" s="168" t="s">
        <v>389</v>
      </c>
      <c r="G16" s="168" t="s">
        <v>390</v>
      </c>
      <c r="H16" s="168" t="s">
        <v>391</v>
      </c>
      <c r="I16" s="169" t="s">
        <v>390</v>
      </c>
      <c r="K16" s="167" t="s">
        <v>23</v>
      </c>
      <c r="L16" s="169" t="s">
        <v>392</v>
      </c>
    </row>
    <row r="17" spans="1:15" ht="14.25" customHeight="1" x14ac:dyDescent="0.3">
      <c r="A17" s="170">
        <v>1</v>
      </c>
      <c r="B17" s="171" t="s">
        <v>393</v>
      </c>
      <c r="C17" s="171" t="s">
        <v>394</v>
      </c>
      <c r="D17" s="171" t="s">
        <v>139</v>
      </c>
      <c r="E17" s="171">
        <v>2000</v>
      </c>
      <c r="F17" s="171">
        <v>0</v>
      </c>
      <c r="G17" s="171" t="s">
        <v>395</v>
      </c>
      <c r="H17" s="171">
        <v>0</v>
      </c>
      <c r="I17" s="172" t="s">
        <v>395</v>
      </c>
      <c r="K17" s="173" t="s">
        <v>396</v>
      </c>
      <c r="L17" s="174">
        <v>1.25</v>
      </c>
    </row>
    <row r="18" spans="1:15" ht="14.25" customHeight="1" x14ac:dyDescent="0.3">
      <c r="A18" s="40">
        <v>2</v>
      </c>
      <c r="B18" s="175" t="s">
        <v>393</v>
      </c>
      <c r="C18" s="175" t="s">
        <v>154</v>
      </c>
      <c r="D18" s="175" t="s">
        <v>139</v>
      </c>
      <c r="E18" s="175">
        <v>1000</v>
      </c>
      <c r="F18" s="175">
        <v>0</v>
      </c>
      <c r="G18" s="171" t="s">
        <v>395</v>
      </c>
      <c r="H18" s="175">
        <v>0</v>
      </c>
      <c r="I18" s="172" t="s">
        <v>395</v>
      </c>
      <c r="K18" s="167" t="s">
        <v>28</v>
      </c>
      <c r="L18" s="169" t="s">
        <v>392</v>
      </c>
      <c r="M18" s="176" t="s">
        <v>397</v>
      </c>
    </row>
    <row r="19" spans="1:15" ht="14.25" customHeight="1" x14ac:dyDescent="0.3">
      <c r="A19" s="40">
        <v>3</v>
      </c>
      <c r="B19" s="175" t="s">
        <v>393</v>
      </c>
      <c r="C19" s="175" t="s">
        <v>398</v>
      </c>
      <c r="D19" s="175" t="s">
        <v>139</v>
      </c>
      <c r="E19" s="175">
        <v>500</v>
      </c>
      <c r="F19" s="175">
        <v>5</v>
      </c>
      <c r="G19" s="175" t="s">
        <v>399</v>
      </c>
      <c r="H19" s="175">
        <v>15</v>
      </c>
      <c r="I19" s="37" t="s">
        <v>399</v>
      </c>
      <c r="K19" s="177" t="s">
        <v>400</v>
      </c>
      <c r="L19" s="174">
        <v>2</v>
      </c>
      <c r="M19" s="178" t="s">
        <v>401</v>
      </c>
    </row>
    <row r="20" spans="1:15" ht="14.25" customHeight="1" x14ac:dyDescent="0.3">
      <c r="A20" s="40">
        <v>4</v>
      </c>
      <c r="B20" s="175" t="s">
        <v>393</v>
      </c>
      <c r="C20" s="175" t="s">
        <v>402</v>
      </c>
      <c r="D20" s="175" t="s">
        <v>139</v>
      </c>
      <c r="E20" s="175">
        <v>400</v>
      </c>
      <c r="F20" s="175">
        <v>5</v>
      </c>
      <c r="G20" s="175" t="s">
        <v>399</v>
      </c>
      <c r="H20" s="175">
        <v>15</v>
      </c>
      <c r="I20" s="37" t="s">
        <v>399</v>
      </c>
      <c r="K20" s="167" t="s">
        <v>403</v>
      </c>
      <c r="L20" s="169" t="s">
        <v>392</v>
      </c>
    </row>
    <row r="21" spans="1:15" ht="14.25" customHeight="1" x14ac:dyDescent="0.3">
      <c r="A21" s="40">
        <v>5</v>
      </c>
      <c r="B21" s="175" t="s">
        <v>393</v>
      </c>
      <c r="C21" s="175" t="s">
        <v>343</v>
      </c>
      <c r="D21" s="175" t="s">
        <v>139</v>
      </c>
      <c r="E21" s="175">
        <v>300</v>
      </c>
      <c r="F21" s="175">
        <v>5</v>
      </c>
      <c r="G21" s="175" t="s">
        <v>399</v>
      </c>
      <c r="H21" s="175">
        <v>15</v>
      </c>
      <c r="I21" s="37" t="s">
        <v>399</v>
      </c>
      <c r="K21" s="179" t="s">
        <v>404</v>
      </c>
      <c r="L21" s="180">
        <v>2.5</v>
      </c>
    </row>
    <row r="22" spans="1:15" ht="14.25" customHeight="1" x14ac:dyDescent="0.3">
      <c r="A22" s="40">
        <v>6</v>
      </c>
      <c r="B22" s="175" t="s">
        <v>393</v>
      </c>
      <c r="C22" s="175" t="s">
        <v>160</v>
      </c>
      <c r="D22" s="175" t="s">
        <v>139</v>
      </c>
      <c r="E22" s="181" t="s">
        <v>405</v>
      </c>
      <c r="F22" s="175">
        <v>5</v>
      </c>
      <c r="G22" s="175" t="s">
        <v>399</v>
      </c>
      <c r="H22" s="175">
        <v>15</v>
      </c>
      <c r="I22" s="37" t="s">
        <v>399</v>
      </c>
      <c r="K22" s="25" t="s">
        <v>406</v>
      </c>
    </row>
    <row r="23" spans="1:15" ht="14.25" customHeight="1" x14ac:dyDescent="0.3">
      <c r="A23" s="40">
        <v>7</v>
      </c>
      <c r="B23" s="175" t="s">
        <v>393</v>
      </c>
      <c r="C23" s="175" t="s">
        <v>407</v>
      </c>
      <c r="D23" s="175" t="s">
        <v>139</v>
      </c>
      <c r="E23" s="181" t="s">
        <v>405</v>
      </c>
      <c r="F23" s="175">
        <v>5</v>
      </c>
      <c r="G23" s="175" t="s">
        <v>399</v>
      </c>
      <c r="H23" s="175">
        <v>15</v>
      </c>
      <c r="I23" s="37" t="s">
        <v>399</v>
      </c>
    </row>
    <row r="24" spans="1:15" ht="14.25" customHeight="1" x14ac:dyDescent="0.3">
      <c r="A24" s="40">
        <v>8</v>
      </c>
      <c r="B24" s="175" t="s">
        <v>393</v>
      </c>
      <c r="C24" s="175" t="s">
        <v>408</v>
      </c>
      <c r="D24" s="175" t="s">
        <v>139</v>
      </c>
      <c r="E24" s="181" t="s">
        <v>405</v>
      </c>
      <c r="F24" s="175">
        <v>5</v>
      </c>
      <c r="G24" s="175" t="s">
        <v>399</v>
      </c>
      <c r="H24" s="175">
        <v>15</v>
      </c>
      <c r="I24" s="37" t="s">
        <v>399</v>
      </c>
    </row>
    <row r="25" spans="1:15" ht="14.25" customHeight="1" x14ac:dyDescent="0.3">
      <c r="A25" s="40">
        <v>9</v>
      </c>
      <c r="B25" s="175" t="s">
        <v>409</v>
      </c>
      <c r="C25" s="175" t="s">
        <v>394</v>
      </c>
      <c r="D25" s="175" t="s">
        <v>139</v>
      </c>
      <c r="E25" s="175">
        <v>6000</v>
      </c>
      <c r="F25" s="175">
        <v>0</v>
      </c>
      <c r="G25" s="171" t="s">
        <v>395</v>
      </c>
      <c r="H25" s="175">
        <v>0</v>
      </c>
      <c r="I25" s="172" t="s">
        <v>395</v>
      </c>
    </row>
    <row r="26" spans="1:15" ht="14.25" customHeight="1" x14ac:dyDescent="0.3">
      <c r="A26" s="40">
        <v>10</v>
      </c>
      <c r="B26" s="175" t="s">
        <v>409</v>
      </c>
      <c r="C26" s="175" t="s">
        <v>154</v>
      </c>
      <c r="D26" s="175" t="s">
        <v>139</v>
      </c>
      <c r="E26" s="175">
        <v>4000</v>
      </c>
      <c r="F26" s="175">
        <v>0</v>
      </c>
      <c r="G26" s="171" t="s">
        <v>395</v>
      </c>
      <c r="H26" s="175">
        <v>0</v>
      </c>
      <c r="I26" s="172" t="s">
        <v>395</v>
      </c>
      <c r="O26" s="152" t="s">
        <v>410</v>
      </c>
    </row>
    <row r="27" spans="1:15" ht="14.25" customHeight="1" x14ac:dyDescent="0.3">
      <c r="A27" s="40">
        <v>11</v>
      </c>
      <c r="B27" s="175" t="s">
        <v>409</v>
      </c>
      <c r="C27" s="175" t="s">
        <v>398</v>
      </c>
      <c r="D27" s="175" t="s">
        <v>139</v>
      </c>
      <c r="E27" s="175">
        <v>3500</v>
      </c>
      <c r="F27" s="175">
        <v>5</v>
      </c>
      <c r="G27" s="175" t="s">
        <v>399</v>
      </c>
      <c r="H27" s="175">
        <v>0</v>
      </c>
      <c r="I27" s="172" t="s">
        <v>395</v>
      </c>
      <c r="O27" s="120" t="s">
        <v>411</v>
      </c>
    </row>
    <row r="28" spans="1:15" ht="151.5" customHeight="1" x14ac:dyDescent="0.3">
      <c r="A28" s="40">
        <v>12</v>
      </c>
      <c r="B28" s="175" t="s">
        <v>409</v>
      </c>
      <c r="C28" s="175" t="s">
        <v>402</v>
      </c>
      <c r="D28" s="175" t="s">
        <v>139</v>
      </c>
      <c r="E28" s="175">
        <v>3000</v>
      </c>
      <c r="F28" s="175">
        <v>5</v>
      </c>
      <c r="G28" s="175" t="s">
        <v>399</v>
      </c>
      <c r="H28" s="175">
        <v>0</v>
      </c>
      <c r="I28" s="172" t="s">
        <v>395</v>
      </c>
      <c r="O28" s="120" t="s">
        <v>412</v>
      </c>
    </row>
    <row r="29" spans="1:15" ht="14.25" customHeight="1" x14ac:dyDescent="0.3">
      <c r="A29" s="40">
        <v>13</v>
      </c>
      <c r="B29" s="175" t="s">
        <v>409</v>
      </c>
      <c r="C29" s="175" t="s">
        <v>343</v>
      </c>
      <c r="D29" s="175" t="s">
        <v>139</v>
      </c>
      <c r="E29" s="175">
        <v>2500</v>
      </c>
      <c r="F29" s="175">
        <v>5</v>
      </c>
      <c r="G29" s="175" t="s">
        <v>399</v>
      </c>
      <c r="H29" s="175">
        <v>0</v>
      </c>
      <c r="I29" s="172" t="s">
        <v>395</v>
      </c>
      <c r="O29" s="120" t="s">
        <v>413</v>
      </c>
    </row>
    <row r="30" spans="1:15" ht="14.25" customHeight="1" x14ac:dyDescent="0.3">
      <c r="A30" s="40">
        <v>14</v>
      </c>
      <c r="B30" s="175" t="s">
        <v>409</v>
      </c>
      <c r="C30" s="175" t="s">
        <v>160</v>
      </c>
      <c r="D30" s="175" t="s">
        <v>139</v>
      </c>
      <c r="E30" s="175">
        <v>2000</v>
      </c>
      <c r="F30" s="175">
        <v>5</v>
      </c>
      <c r="G30" s="175" t="s">
        <v>399</v>
      </c>
      <c r="H30" s="175">
        <v>15</v>
      </c>
      <c r="I30" s="37" t="s">
        <v>399</v>
      </c>
      <c r="O30" s="120" t="s">
        <v>414</v>
      </c>
    </row>
    <row r="31" spans="1:15" ht="14.25" customHeight="1" x14ac:dyDescent="0.3">
      <c r="A31" s="40">
        <v>15</v>
      </c>
      <c r="B31" s="175" t="s">
        <v>409</v>
      </c>
      <c r="C31" s="175" t="s">
        <v>407</v>
      </c>
      <c r="D31" s="175" t="s">
        <v>139</v>
      </c>
      <c r="E31" s="181" t="s">
        <v>405</v>
      </c>
      <c r="F31" s="175">
        <v>5</v>
      </c>
      <c r="G31" s="175" t="s">
        <v>399</v>
      </c>
      <c r="H31" s="175">
        <v>15</v>
      </c>
      <c r="I31" s="37" t="s">
        <v>399</v>
      </c>
      <c r="O31" s="120" t="s">
        <v>415</v>
      </c>
    </row>
    <row r="32" spans="1:15" ht="14.25" customHeight="1" x14ac:dyDescent="0.3">
      <c r="A32" s="40">
        <v>16</v>
      </c>
      <c r="B32" s="175" t="s">
        <v>409</v>
      </c>
      <c r="C32" s="175" t="s">
        <v>408</v>
      </c>
      <c r="D32" s="175" t="s">
        <v>139</v>
      </c>
      <c r="E32" s="181" t="s">
        <v>405</v>
      </c>
      <c r="F32" s="175">
        <v>5</v>
      </c>
      <c r="G32" s="175" t="s">
        <v>399</v>
      </c>
      <c r="H32" s="175">
        <v>15</v>
      </c>
      <c r="I32" s="37" t="s">
        <v>399</v>
      </c>
    </row>
    <row r="33" spans="1:15" ht="14.25" customHeight="1" x14ac:dyDescent="0.3">
      <c r="A33" s="40">
        <v>17</v>
      </c>
      <c r="B33" s="175" t="s">
        <v>138</v>
      </c>
      <c r="C33" s="175" t="s">
        <v>394</v>
      </c>
      <c r="D33" s="175" t="s">
        <v>139</v>
      </c>
      <c r="E33" s="175">
        <v>12000</v>
      </c>
      <c r="F33" s="175">
        <v>0</v>
      </c>
      <c r="G33" s="171" t="s">
        <v>395</v>
      </c>
      <c r="H33" s="175">
        <v>0</v>
      </c>
      <c r="I33" s="172" t="s">
        <v>395</v>
      </c>
    </row>
    <row r="34" spans="1:15" ht="14.25" customHeight="1" x14ac:dyDescent="0.3">
      <c r="A34" s="40">
        <v>18</v>
      </c>
      <c r="B34" s="175" t="s">
        <v>138</v>
      </c>
      <c r="C34" s="175" t="s">
        <v>154</v>
      </c>
      <c r="D34" s="175" t="s">
        <v>139</v>
      </c>
      <c r="E34" s="175">
        <v>8000</v>
      </c>
      <c r="F34" s="175">
        <v>0</v>
      </c>
      <c r="G34" s="171" t="s">
        <v>395</v>
      </c>
      <c r="H34" s="175">
        <v>0</v>
      </c>
      <c r="I34" s="172" t="s">
        <v>395</v>
      </c>
    </row>
    <row r="35" spans="1:15" ht="127.5" customHeight="1" x14ac:dyDescent="0.3">
      <c r="A35" s="40">
        <v>19</v>
      </c>
      <c r="B35" s="175" t="s">
        <v>138</v>
      </c>
      <c r="C35" s="175" t="s">
        <v>398</v>
      </c>
      <c r="D35" s="175" t="s">
        <v>139</v>
      </c>
      <c r="E35" s="175">
        <v>7000</v>
      </c>
      <c r="F35" s="175">
        <v>5</v>
      </c>
      <c r="G35" s="175" t="s">
        <v>399</v>
      </c>
      <c r="H35" s="175">
        <v>0</v>
      </c>
      <c r="I35" s="172" t="s">
        <v>395</v>
      </c>
      <c r="M35" s="120" t="s">
        <v>416</v>
      </c>
      <c r="O35" s="120" t="e">
        <f ca="1">_xludf.CONCAT(M35:M36)</f>
        <v>#NAME?</v>
      </c>
    </row>
    <row r="36" spans="1:15" ht="281.25" customHeight="1" x14ac:dyDescent="0.3">
      <c r="A36" s="40">
        <v>20</v>
      </c>
      <c r="B36" s="175" t="s">
        <v>138</v>
      </c>
      <c r="C36" s="175" t="s">
        <v>402</v>
      </c>
      <c r="D36" s="175" t="s">
        <v>139</v>
      </c>
      <c r="E36" s="175">
        <v>6000</v>
      </c>
      <c r="F36" s="175">
        <v>5</v>
      </c>
      <c r="G36" s="175" t="s">
        <v>399</v>
      </c>
      <c r="H36" s="175">
        <v>0</v>
      </c>
      <c r="I36" s="172" t="s">
        <v>395</v>
      </c>
      <c r="M36" s="120" t="s">
        <v>417</v>
      </c>
      <c r="O36" s="120"/>
    </row>
    <row r="37" spans="1:15" ht="14.25" customHeight="1" x14ac:dyDescent="0.3">
      <c r="A37" s="40">
        <v>21</v>
      </c>
      <c r="B37" s="175" t="s">
        <v>138</v>
      </c>
      <c r="C37" s="175" t="s">
        <v>343</v>
      </c>
      <c r="D37" s="175" t="s">
        <v>139</v>
      </c>
      <c r="E37" s="175">
        <v>5000</v>
      </c>
      <c r="F37" s="175">
        <v>5</v>
      </c>
      <c r="G37" s="175" t="s">
        <v>399</v>
      </c>
      <c r="H37" s="175">
        <v>0</v>
      </c>
      <c r="I37" s="172" t="s">
        <v>395</v>
      </c>
    </row>
    <row r="38" spans="1:15" ht="14.25" customHeight="1" x14ac:dyDescent="0.3">
      <c r="A38" s="40">
        <v>22</v>
      </c>
      <c r="B38" s="175" t="s">
        <v>138</v>
      </c>
      <c r="C38" s="175" t="s">
        <v>160</v>
      </c>
      <c r="D38" s="175" t="s">
        <v>139</v>
      </c>
      <c r="E38" s="175">
        <v>4000</v>
      </c>
      <c r="F38" s="175">
        <v>5</v>
      </c>
      <c r="G38" s="175" t="s">
        <v>418</v>
      </c>
      <c r="H38" s="175">
        <v>15</v>
      </c>
      <c r="I38" s="37" t="s">
        <v>399</v>
      </c>
    </row>
    <row r="39" spans="1:15" ht="14.25" customHeight="1" x14ac:dyDescent="0.3">
      <c r="A39" s="40">
        <v>23</v>
      </c>
      <c r="B39" s="175" t="s">
        <v>138</v>
      </c>
      <c r="C39" s="175" t="s">
        <v>407</v>
      </c>
      <c r="D39" s="175" t="s">
        <v>139</v>
      </c>
      <c r="E39" s="175">
        <v>3000</v>
      </c>
      <c r="F39" s="175">
        <v>5</v>
      </c>
      <c r="G39" s="175" t="s">
        <v>399</v>
      </c>
      <c r="H39" s="175">
        <v>15</v>
      </c>
      <c r="I39" s="37" t="s">
        <v>399</v>
      </c>
    </row>
    <row r="40" spans="1:15" ht="14.25" customHeight="1" x14ac:dyDescent="0.3">
      <c r="A40" s="40">
        <v>24</v>
      </c>
      <c r="B40" s="175" t="s">
        <v>138</v>
      </c>
      <c r="C40" s="175" t="s">
        <v>408</v>
      </c>
      <c r="D40" s="175" t="s">
        <v>139</v>
      </c>
      <c r="E40" s="181" t="s">
        <v>405</v>
      </c>
      <c r="F40" s="175">
        <v>5</v>
      </c>
      <c r="G40" s="175" t="s">
        <v>399</v>
      </c>
      <c r="H40" s="175">
        <v>15</v>
      </c>
      <c r="I40" s="37" t="s">
        <v>399</v>
      </c>
    </row>
    <row r="41" spans="1:15" ht="14.25" customHeight="1" x14ac:dyDescent="0.3">
      <c r="A41" s="40">
        <v>25</v>
      </c>
      <c r="B41" s="175" t="s">
        <v>155</v>
      </c>
      <c r="C41" s="175" t="s">
        <v>394</v>
      </c>
      <c r="D41" s="175" t="s">
        <v>139</v>
      </c>
      <c r="E41" s="175">
        <v>100000</v>
      </c>
      <c r="F41" s="175">
        <v>0</v>
      </c>
      <c r="G41" s="171" t="s">
        <v>395</v>
      </c>
      <c r="H41" s="175">
        <v>0</v>
      </c>
      <c r="I41" s="172" t="s">
        <v>395</v>
      </c>
    </row>
    <row r="42" spans="1:15" ht="14.25" customHeight="1" x14ac:dyDescent="0.3">
      <c r="A42" s="40">
        <v>26</v>
      </c>
      <c r="B42" s="175" t="s">
        <v>155</v>
      </c>
      <c r="C42" s="175" t="s">
        <v>154</v>
      </c>
      <c r="D42" s="175" t="s">
        <v>139</v>
      </c>
      <c r="E42" s="175">
        <v>12000</v>
      </c>
      <c r="F42" s="175">
        <v>0</v>
      </c>
      <c r="G42" s="171" t="s">
        <v>395</v>
      </c>
      <c r="H42" s="175">
        <v>0</v>
      </c>
      <c r="I42" s="172" t="s">
        <v>395</v>
      </c>
    </row>
    <row r="43" spans="1:15" ht="408" customHeight="1" x14ac:dyDescent="0.3">
      <c r="A43" s="40">
        <v>27</v>
      </c>
      <c r="B43" s="175" t="s">
        <v>155</v>
      </c>
      <c r="C43" s="175" t="s">
        <v>398</v>
      </c>
      <c r="D43" s="175" t="s">
        <v>139</v>
      </c>
      <c r="E43" s="175">
        <v>10000</v>
      </c>
      <c r="F43" s="175">
        <v>0</v>
      </c>
      <c r="G43" s="171" t="s">
        <v>395</v>
      </c>
      <c r="H43" s="175">
        <v>0</v>
      </c>
      <c r="I43" s="172" t="s">
        <v>395</v>
      </c>
      <c r="M43" s="120" t="s">
        <v>419</v>
      </c>
    </row>
    <row r="44" spans="1:15" ht="14.25" customHeight="1" x14ac:dyDescent="0.3">
      <c r="A44" s="40">
        <v>28</v>
      </c>
      <c r="B44" s="175" t="s">
        <v>155</v>
      </c>
      <c r="C44" s="175" t="s">
        <v>402</v>
      </c>
      <c r="D44" s="175" t="s">
        <v>139</v>
      </c>
      <c r="E44" s="175">
        <v>8000</v>
      </c>
      <c r="F44" s="175">
        <v>0</v>
      </c>
      <c r="G44" s="171" t="s">
        <v>395</v>
      </c>
      <c r="H44" s="175">
        <v>0</v>
      </c>
      <c r="I44" s="172" t="s">
        <v>395</v>
      </c>
      <c r="M44" s="120" t="s">
        <v>420</v>
      </c>
    </row>
    <row r="45" spans="1:15" ht="14.25" customHeight="1" x14ac:dyDescent="0.3">
      <c r="A45" s="40">
        <v>29</v>
      </c>
      <c r="B45" s="175" t="s">
        <v>155</v>
      </c>
      <c r="C45" s="175" t="s">
        <v>343</v>
      </c>
      <c r="D45" s="175" t="s">
        <v>139</v>
      </c>
      <c r="E45" s="175">
        <v>7000</v>
      </c>
      <c r="F45" s="175">
        <v>0</v>
      </c>
      <c r="G45" s="171" t="s">
        <v>395</v>
      </c>
      <c r="H45" s="175">
        <v>0</v>
      </c>
      <c r="I45" s="172" t="s">
        <v>395</v>
      </c>
    </row>
    <row r="46" spans="1:15" ht="14.25" customHeight="1" x14ac:dyDescent="0.3">
      <c r="A46" s="40">
        <v>30</v>
      </c>
      <c r="B46" s="175" t="s">
        <v>155</v>
      </c>
      <c r="C46" s="175" t="s">
        <v>160</v>
      </c>
      <c r="D46" s="175" t="s">
        <v>139</v>
      </c>
      <c r="E46" s="175">
        <v>6000</v>
      </c>
      <c r="F46" s="175">
        <v>0</v>
      </c>
      <c r="G46" s="171" t="s">
        <v>395</v>
      </c>
      <c r="H46" s="175">
        <v>0</v>
      </c>
      <c r="I46" s="172" t="s">
        <v>395</v>
      </c>
    </row>
    <row r="47" spans="1:15" ht="14.25" customHeight="1" x14ac:dyDescent="0.3">
      <c r="A47" s="40">
        <v>31</v>
      </c>
      <c r="B47" s="175" t="s">
        <v>155</v>
      </c>
      <c r="C47" s="175" t="s">
        <v>407</v>
      </c>
      <c r="D47" s="175" t="s">
        <v>139</v>
      </c>
      <c r="E47" s="175">
        <v>5000</v>
      </c>
      <c r="F47" s="175">
        <v>0</v>
      </c>
      <c r="G47" s="171" t="s">
        <v>395</v>
      </c>
      <c r="H47" s="175">
        <v>0</v>
      </c>
      <c r="I47" s="172" t="s">
        <v>395</v>
      </c>
    </row>
    <row r="48" spans="1:15" ht="14.25" customHeight="1" x14ac:dyDescent="0.3">
      <c r="A48" s="182">
        <v>32</v>
      </c>
      <c r="B48" s="183" t="s">
        <v>155</v>
      </c>
      <c r="C48" s="183" t="s">
        <v>408</v>
      </c>
      <c r="D48" s="183" t="s">
        <v>139</v>
      </c>
      <c r="E48" s="183">
        <v>4000</v>
      </c>
      <c r="F48" s="175">
        <v>0</v>
      </c>
      <c r="G48" s="171" t="s">
        <v>395</v>
      </c>
      <c r="H48" s="175">
        <v>0</v>
      </c>
      <c r="I48" s="172" t="s">
        <v>395</v>
      </c>
    </row>
    <row r="49" spans="1:9" ht="13.5" customHeight="1" x14ac:dyDescent="0.3">
      <c r="A49" s="40">
        <v>25</v>
      </c>
      <c r="B49" s="175" t="s">
        <v>421</v>
      </c>
      <c r="C49" s="175" t="s">
        <v>394</v>
      </c>
      <c r="D49" s="175" t="s">
        <v>139</v>
      </c>
      <c r="E49" s="175" t="s">
        <v>399</v>
      </c>
      <c r="F49" s="175">
        <v>0</v>
      </c>
      <c r="G49" s="175" t="s">
        <v>399</v>
      </c>
      <c r="H49" s="175">
        <v>0</v>
      </c>
      <c r="I49" s="172" t="s">
        <v>395</v>
      </c>
    </row>
    <row r="50" spans="1:9" ht="14.25" customHeight="1" x14ac:dyDescent="0.3">
      <c r="A50" s="40">
        <v>26</v>
      </c>
      <c r="B50" s="175" t="s">
        <v>421</v>
      </c>
      <c r="C50" s="175" t="s">
        <v>154</v>
      </c>
      <c r="D50" s="175" t="s">
        <v>139</v>
      </c>
      <c r="E50" s="175" t="s">
        <v>399</v>
      </c>
      <c r="F50" s="175">
        <v>0</v>
      </c>
      <c r="G50" s="175" t="s">
        <v>399</v>
      </c>
      <c r="H50" s="175">
        <v>0</v>
      </c>
      <c r="I50" s="172" t="s">
        <v>395</v>
      </c>
    </row>
    <row r="51" spans="1:9" ht="14.25" customHeight="1" x14ac:dyDescent="0.3">
      <c r="A51" s="40">
        <v>27</v>
      </c>
      <c r="B51" s="175" t="s">
        <v>421</v>
      </c>
      <c r="C51" s="175" t="s">
        <v>398</v>
      </c>
      <c r="D51" s="175" t="s">
        <v>139</v>
      </c>
      <c r="E51" s="175" t="s">
        <v>399</v>
      </c>
      <c r="F51" s="175">
        <v>0</v>
      </c>
      <c r="G51" s="175" t="s">
        <v>399</v>
      </c>
      <c r="H51" s="175">
        <v>0</v>
      </c>
      <c r="I51" s="172" t="s">
        <v>395</v>
      </c>
    </row>
    <row r="52" spans="1:9" ht="14.25" customHeight="1" x14ac:dyDescent="0.3">
      <c r="A52" s="40">
        <v>28</v>
      </c>
      <c r="B52" s="175" t="s">
        <v>421</v>
      </c>
      <c r="C52" s="175" t="s">
        <v>402</v>
      </c>
      <c r="D52" s="175" t="s">
        <v>139</v>
      </c>
      <c r="E52" s="175" t="s">
        <v>399</v>
      </c>
      <c r="F52" s="175">
        <v>0</v>
      </c>
      <c r="G52" s="175" t="s">
        <v>399</v>
      </c>
      <c r="H52" s="175">
        <v>0</v>
      </c>
      <c r="I52" s="172" t="s">
        <v>395</v>
      </c>
    </row>
    <row r="53" spans="1:9" ht="14.25" customHeight="1" x14ac:dyDescent="0.3">
      <c r="A53" s="40">
        <v>29</v>
      </c>
      <c r="B53" s="175" t="s">
        <v>421</v>
      </c>
      <c r="C53" s="175" t="s">
        <v>343</v>
      </c>
      <c r="D53" s="175" t="s">
        <v>139</v>
      </c>
      <c r="E53" s="175" t="s">
        <v>399</v>
      </c>
      <c r="F53" s="175">
        <v>0</v>
      </c>
      <c r="G53" s="175" t="s">
        <v>399</v>
      </c>
      <c r="H53" s="175">
        <v>0</v>
      </c>
      <c r="I53" s="172" t="s">
        <v>395</v>
      </c>
    </row>
    <row r="54" spans="1:9" ht="14.25" customHeight="1" x14ac:dyDescent="0.3">
      <c r="A54" s="40">
        <v>30</v>
      </c>
      <c r="B54" s="175" t="s">
        <v>421</v>
      </c>
      <c r="C54" s="175" t="s">
        <v>160</v>
      </c>
      <c r="D54" s="175" t="s">
        <v>139</v>
      </c>
      <c r="E54" s="175" t="s">
        <v>399</v>
      </c>
      <c r="F54" s="175">
        <v>0</v>
      </c>
      <c r="G54" s="175" t="s">
        <v>399</v>
      </c>
      <c r="H54" s="175">
        <v>0</v>
      </c>
      <c r="I54" s="172" t="s">
        <v>395</v>
      </c>
    </row>
    <row r="55" spans="1:9" ht="14.25" customHeight="1" x14ac:dyDescent="0.3">
      <c r="A55" s="40">
        <v>31</v>
      </c>
      <c r="B55" s="175" t="s">
        <v>421</v>
      </c>
      <c r="C55" s="175" t="s">
        <v>407</v>
      </c>
      <c r="D55" s="175" t="s">
        <v>139</v>
      </c>
      <c r="E55" s="175" t="s">
        <v>399</v>
      </c>
      <c r="F55" s="175">
        <v>0</v>
      </c>
      <c r="G55" s="175" t="s">
        <v>399</v>
      </c>
      <c r="H55" s="175">
        <v>0</v>
      </c>
      <c r="I55" s="172" t="s">
        <v>395</v>
      </c>
    </row>
    <row r="56" spans="1:9" ht="14.25" customHeight="1" x14ac:dyDescent="0.3">
      <c r="A56" s="182">
        <v>32</v>
      </c>
      <c r="B56" s="175" t="s">
        <v>421</v>
      </c>
      <c r="C56" s="183" t="s">
        <v>408</v>
      </c>
      <c r="D56" s="183" t="s">
        <v>139</v>
      </c>
      <c r="E56" s="175" t="s">
        <v>399</v>
      </c>
      <c r="F56" s="183">
        <v>0</v>
      </c>
      <c r="G56" s="175" t="s">
        <v>399</v>
      </c>
      <c r="H56" s="183">
        <v>0</v>
      </c>
      <c r="I56" s="174" t="s">
        <v>395</v>
      </c>
    </row>
    <row r="57" spans="1:9" ht="14.25" customHeight="1" x14ac:dyDescent="0.3">
      <c r="A57" s="184">
        <v>33</v>
      </c>
      <c r="B57" s="185" t="s">
        <v>393</v>
      </c>
      <c r="C57" s="185" t="s">
        <v>394</v>
      </c>
      <c r="D57" s="185" t="s">
        <v>422</v>
      </c>
      <c r="E57" s="185">
        <v>400</v>
      </c>
      <c r="F57" s="185">
        <v>0</v>
      </c>
      <c r="G57" s="185" t="s">
        <v>399</v>
      </c>
      <c r="H57" s="185">
        <v>0</v>
      </c>
      <c r="I57" s="33" t="s">
        <v>399</v>
      </c>
    </row>
    <row r="58" spans="1:9" ht="14.25" customHeight="1" x14ac:dyDescent="0.3">
      <c r="A58" s="40">
        <v>34</v>
      </c>
      <c r="B58" s="175" t="s">
        <v>393</v>
      </c>
      <c r="C58" s="175" t="s">
        <v>154</v>
      </c>
      <c r="D58" s="175" t="s">
        <v>422</v>
      </c>
      <c r="E58" s="171">
        <v>400</v>
      </c>
      <c r="F58" s="175">
        <v>0</v>
      </c>
      <c r="G58" s="175" t="s">
        <v>399</v>
      </c>
      <c r="H58" s="175">
        <v>0</v>
      </c>
      <c r="I58" s="37" t="s">
        <v>399</v>
      </c>
    </row>
    <row r="59" spans="1:9" ht="14.25" customHeight="1" x14ac:dyDescent="0.3">
      <c r="A59" s="40">
        <v>35</v>
      </c>
      <c r="B59" s="175" t="s">
        <v>393</v>
      </c>
      <c r="C59" s="175" t="s">
        <v>398</v>
      </c>
      <c r="D59" s="175" t="s">
        <v>422</v>
      </c>
      <c r="E59" s="171">
        <v>250</v>
      </c>
      <c r="F59" s="175">
        <v>0</v>
      </c>
      <c r="G59" s="175" t="s">
        <v>399</v>
      </c>
      <c r="H59" s="175">
        <v>0</v>
      </c>
      <c r="I59" s="37" t="s">
        <v>399</v>
      </c>
    </row>
    <row r="60" spans="1:9" ht="14.25" customHeight="1" x14ac:dyDescent="0.3">
      <c r="A60" s="40">
        <v>36</v>
      </c>
      <c r="B60" s="175" t="s">
        <v>393</v>
      </c>
      <c r="C60" s="175" t="s">
        <v>402</v>
      </c>
      <c r="D60" s="175" t="s">
        <v>422</v>
      </c>
      <c r="E60" s="171">
        <v>200</v>
      </c>
      <c r="F60" s="175">
        <v>0</v>
      </c>
      <c r="G60" s="175" t="s">
        <v>399</v>
      </c>
      <c r="H60" s="175">
        <v>0</v>
      </c>
      <c r="I60" s="37" t="s">
        <v>399</v>
      </c>
    </row>
    <row r="61" spans="1:9" ht="14.25" customHeight="1" x14ac:dyDescent="0.3">
      <c r="A61" s="40">
        <v>37</v>
      </c>
      <c r="B61" s="175" t="s">
        <v>393</v>
      </c>
      <c r="C61" s="175" t="s">
        <v>343</v>
      </c>
      <c r="D61" s="175" t="s">
        <v>422</v>
      </c>
      <c r="E61" s="171">
        <v>150</v>
      </c>
      <c r="F61" s="175">
        <v>0</v>
      </c>
      <c r="G61" s="175" t="s">
        <v>399</v>
      </c>
      <c r="H61" s="175">
        <v>0</v>
      </c>
      <c r="I61" s="37" t="s">
        <v>399</v>
      </c>
    </row>
    <row r="62" spans="1:9" ht="14.25" customHeight="1" x14ac:dyDescent="0.3">
      <c r="A62" s="40">
        <v>38</v>
      </c>
      <c r="B62" s="175" t="s">
        <v>393</v>
      </c>
      <c r="C62" s="175" t="s">
        <v>160</v>
      </c>
      <c r="D62" s="175" t="s">
        <v>422</v>
      </c>
      <c r="E62" s="175" t="s">
        <v>405</v>
      </c>
      <c r="F62" s="175">
        <v>0</v>
      </c>
      <c r="G62" s="175" t="s">
        <v>399</v>
      </c>
      <c r="H62" s="175">
        <v>0</v>
      </c>
      <c r="I62" s="37" t="s">
        <v>399</v>
      </c>
    </row>
    <row r="63" spans="1:9" ht="14.25" customHeight="1" x14ac:dyDescent="0.3">
      <c r="A63" s="40">
        <v>39</v>
      </c>
      <c r="B63" s="175" t="s">
        <v>393</v>
      </c>
      <c r="C63" s="175" t="s">
        <v>407</v>
      </c>
      <c r="D63" s="175" t="s">
        <v>422</v>
      </c>
      <c r="E63" s="175" t="s">
        <v>405</v>
      </c>
      <c r="F63" s="175">
        <v>0</v>
      </c>
      <c r="G63" s="175" t="s">
        <v>399</v>
      </c>
      <c r="H63" s="175">
        <v>0</v>
      </c>
      <c r="I63" s="37" t="s">
        <v>399</v>
      </c>
    </row>
    <row r="64" spans="1:9" ht="14.25" customHeight="1" x14ac:dyDescent="0.3">
      <c r="A64" s="40">
        <v>40</v>
      </c>
      <c r="B64" s="175" t="s">
        <v>393</v>
      </c>
      <c r="C64" s="175" t="s">
        <v>408</v>
      </c>
      <c r="D64" s="175" t="s">
        <v>422</v>
      </c>
      <c r="E64" s="175" t="s">
        <v>405</v>
      </c>
      <c r="F64" s="175">
        <v>0</v>
      </c>
      <c r="G64" s="175" t="s">
        <v>399</v>
      </c>
      <c r="H64" s="175">
        <v>0</v>
      </c>
      <c r="I64" s="37" t="s">
        <v>399</v>
      </c>
    </row>
    <row r="65" spans="1:9" ht="14.25" customHeight="1" x14ac:dyDescent="0.3">
      <c r="A65" s="40">
        <v>41</v>
      </c>
      <c r="B65" s="175" t="s">
        <v>409</v>
      </c>
      <c r="C65" s="175" t="s">
        <v>394</v>
      </c>
      <c r="D65" s="175" t="s">
        <v>422</v>
      </c>
      <c r="E65" s="171">
        <v>400</v>
      </c>
      <c r="F65" s="175">
        <v>0</v>
      </c>
      <c r="G65" s="175" t="s">
        <v>399</v>
      </c>
      <c r="H65" s="175">
        <v>0</v>
      </c>
      <c r="I65" s="37" t="s">
        <v>399</v>
      </c>
    </row>
    <row r="66" spans="1:9" ht="14.25" customHeight="1" x14ac:dyDescent="0.3">
      <c r="A66" s="40">
        <v>42</v>
      </c>
      <c r="B66" s="175" t="s">
        <v>409</v>
      </c>
      <c r="C66" s="175" t="s">
        <v>154</v>
      </c>
      <c r="D66" s="175" t="s">
        <v>422</v>
      </c>
      <c r="E66" s="171">
        <v>400</v>
      </c>
      <c r="F66" s="175">
        <v>0</v>
      </c>
      <c r="G66" s="175" t="s">
        <v>399</v>
      </c>
      <c r="H66" s="175">
        <v>0</v>
      </c>
      <c r="I66" s="37" t="s">
        <v>399</v>
      </c>
    </row>
    <row r="67" spans="1:9" ht="14.25" customHeight="1" x14ac:dyDescent="0.3">
      <c r="A67" s="40">
        <v>43</v>
      </c>
      <c r="B67" s="175" t="s">
        <v>409</v>
      </c>
      <c r="C67" s="175" t="s">
        <v>398</v>
      </c>
      <c r="D67" s="175" t="s">
        <v>422</v>
      </c>
      <c r="E67" s="171">
        <v>400</v>
      </c>
      <c r="F67" s="175">
        <v>0</v>
      </c>
      <c r="G67" s="175" t="s">
        <v>399</v>
      </c>
      <c r="H67" s="175">
        <v>0</v>
      </c>
      <c r="I67" s="37" t="s">
        <v>399</v>
      </c>
    </row>
    <row r="68" spans="1:9" ht="14.25" customHeight="1" x14ac:dyDescent="0.3">
      <c r="A68" s="40">
        <v>44</v>
      </c>
      <c r="B68" s="175" t="s">
        <v>409</v>
      </c>
      <c r="C68" s="175" t="s">
        <v>402</v>
      </c>
      <c r="D68" s="175" t="s">
        <v>422</v>
      </c>
      <c r="E68" s="171">
        <v>400</v>
      </c>
      <c r="F68" s="175">
        <v>0</v>
      </c>
      <c r="G68" s="175" t="s">
        <v>399</v>
      </c>
      <c r="H68" s="175">
        <v>0</v>
      </c>
      <c r="I68" s="37" t="s">
        <v>399</v>
      </c>
    </row>
    <row r="69" spans="1:9" ht="14.25" customHeight="1" x14ac:dyDescent="0.3">
      <c r="A69" s="40">
        <v>45</v>
      </c>
      <c r="B69" s="175" t="s">
        <v>409</v>
      </c>
      <c r="C69" s="175" t="s">
        <v>343</v>
      </c>
      <c r="D69" s="175" t="s">
        <v>422</v>
      </c>
      <c r="E69" s="171">
        <v>400</v>
      </c>
      <c r="F69" s="175">
        <v>0</v>
      </c>
      <c r="G69" s="175" t="s">
        <v>399</v>
      </c>
      <c r="H69" s="175">
        <v>0</v>
      </c>
      <c r="I69" s="37" t="s">
        <v>399</v>
      </c>
    </row>
    <row r="70" spans="1:9" ht="14.25" customHeight="1" x14ac:dyDescent="0.3">
      <c r="A70" s="40">
        <v>46</v>
      </c>
      <c r="B70" s="175" t="s">
        <v>409</v>
      </c>
      <c r="C70" s="175" t="s">
        <v>160</v>
      </c>
      <c r="D70" s="175" t="s">
        <v>422</v>
      </c>
      <c r="E70" s="171">
        <v>400</v>
      </c>
      <c r="F70" s="175">
        <v>0</v>
      </c>
      <c r="G70" s="175" t="s">
        <v>399</v>
      </c>
      <c r="H70" s="175">
        <v>0</v>
      </c>
      <c r="I70" s="37" t="s">
        <v>399</v>
      </c>
    </row>
    <row r="71" spans="1:9" ht="14.25" customHeight="1" x14ac:dyDescent="0.3">
      <c r="A71" s="40">
        <v>47</v>
      </c>
      <c r="B71" s="175" t="s">
        <v>409</v>
      </c>
      <c r="C71" s="175" t="s">
        <v>407</v>
      </c>
      <c r="D71" s="175" t="s">
        <v>422</v>
      </c>
      <c r="E71" s="171">
        <v>400</v>
      </c>
      <c r="F71" s="175">
        <v>0</v>
      </c>
      <c r="G71" s="175" t="s">
        <v>399</v>
      </c>
      <c r="H71" s="175">
        <v>0</v>
      </c>
      <c r="I71" s="37" t="s">
        <v>399</v>
      </c>
    </row>
    <row r="72" spans="1:9" ht="14.25" customHeight="1" x14ac:dyDescent="0.3">
      <c r="A72" s="40">
        <v>48</v>
      </c>
      <c r="B72" s="175" t="s">
        <v>409</v>
      </c>
      <c r="C72" s="175" t="s">
        <v>408</v>
      </c>
      <c r="D72" s="175" t="s">
        <v>422</v>
      </c>
      <c r="E72" s="175" t="s">
        <v>405</v>
      </c>
      <c r="F72" s="175">
        <v>0</v>
      </c>
      <c r="G72" s="175" t="s">
        <v>399</v>
      </c>
      <c r="H72" s="175">
        <v>0</v>
      </c>
      <c r="I72" s="37" t="s">
        <v>399</v>
      </c>
    </row>
    <row r="73" spans="1:9" ht="14.25" customHeight="1" x14ac:dyDescent="0.3">
      <c r="A73" s="40">
        <v>49</v>
      </c>
      <c r="B73" s="175" t="s">
        <v>138</v>
      </c>
      <c r="C73" s="175" t="s">
        <v>394</v>
      </c>
      <c r="D73" s="175" t="s">
        <v>422</v>
      </c>
      <c r="E73" s="171">
        <v>400</v>
      </c>
      <c r="F73" s="175">
        <v>0</v>
      </c>
      <c r="G73" s="175" t="s">
        <v>399</v>
      </c>
      <c r="H73" s="175">
        <v>0</v>
      </c>
      <c r="I73" s="37" t="s">
        <v>399</v>
      </c>
    </row>
    <row r="74" spans="1:9" ht="14.25" customHeight="1" x14ac:dyDescent="0.3">
      <c r="A74" s="40">
        <v>50</v>
      </c>
      <c r="B74" s="175" t="s">
        <v>138</v>
      </c>
      <c r="C74" s="175" t="s">
        <v>154</v>
      </c>
      <c r="D74" s="175" t="s">
        <v>422</v>
      </c>
      <c r="E74" s="171">
        <v>400</v>
      </c>
      <c r="F74" s="175">
        <v>0</v>
      </c>
      <c r="G74" s="175" t="s">
        <v>399</v>
      </c>
      <c r="H74" s="175">
        <v>0</v>
      </c>
      <c r="I74" s="37" t="s">
        <v>399</v>
      </c>
    </row>
    <row r="75" spans="1:9" ht="14.25" customHeight="1" x14ac:dyDescent="0.3">
      <c r="A75" s="40">
        <v>51</v>
      </c>
      <c r="B75" s="175" t="s">
        <v>138</v>
      </c>
      <c r="C75" s="175" t="s">
        <v>398</v>
      </c>
      <c r="D75" s="175" t="s">
        <v>422</v>
      </c>
      <c r="E75" s="171">
        <v>400</v>
      </c>
      <c r="F75" s="175">
        <v>0</v>
      </c>
      <c r="G75" s="175" t="s">
        <v>399</v>
      </c>
      <c r="H75" s="175">
        <v>0</v>
      </c>
      <c r="I75" s="37" t="s">
        <v>399</v>
      </c>
    </row>
    <row r="76" spans="1:9" ht="14.25" customHeight="1" x14ac:dyDescent="0.3">
      <c r="A76" s="40">
        <v>52</v>
      </c>
      <c r="B76" s="175" t="s">
        <v>138</v>
      </c>
      <c r="C76" s="175" t="s">
        <v>402</v>
      </c>
      <c r="D76" s="175" t="s">
        <v>422</v>
      </c>
      <c r="E76" s="171">
        <v>400</v>
      </c>
      <c r="F76" s="175">
        <v>0</v>
      </c>
      <c r="G76" s="175" t="s">
        <v>399</v>
      </c>
      <c r="H76" s="175">
        <v>0</v>
      </c>
      <c r="I76" s="37" t="s">
        <v>399</v>
      </c>
    </row>
    <row r="77" spans="1:9" ht="14.25" customHeight="1" x14ac:dyDescent="0.3">
      <c r="A77" s="40">
        <v>53</v>
      </c>
      <c r="B77" s="175" t="s">
        <v>138</v>
      </c>
      <c r="C77" s="175" t="s">
        <v>343</v>
      </c>
      <c r="D77" s="175" t="s">
        <v>422</v>
      </c>
      <c r="E77" s="171">
        <v>400</v>
      </c>
      <c r="F77" s="175">
        <v>0</v>
      </c>
      <c r="G77" s="175" t="s">
        <v>399</v>
      </c>
      <c r="H77" s="175">
        <v>0</v>
      </c>
      <c r="I77" s="37" t="s">
        <v>399</v>
      </c>
    </row>
    <row r="78" spans="1:9" ht="14.25" customHeight="1" x14ac:dyDescent="0.3">
      <c r="A78" s="40">
        <v>54</v>
      </c>
      <c r="B78" s="175" t="s">
        <v>138</v>
      </c>
      <c r="C78" s="175" t="s">
        <v>160</v>
      </c>
      <c r="D78" s="175" t="s">
        <v>422</v>
      </c>
      <c r="E78" s="171">
        <v>400</v>
      </c>
      <c r="F78" s="175">
        <v>0</v>
      </c>
      <c r="G78" s="175" t="s">
        <v>399</v>
      </c>
      <c r="H78" s="175">
        <v>0</v>
      </c>
      <c r="I78" s="37" t="s">
        <v>399</v>
      </c>
    </row>
    <row r="79" spans="1:9" ht="14.25" customHeight="1" x14ac:dyDescent="0.3">
      <c r="A79" s="40">
        <v>55</v>
      </c>
      <c r="B79" s="175" t="s">
        <v>138</v>
      </c>
      <c r="C79" s="175" t="s">
        <v>407</v>
      </c>
      <c r="D79" s="175" t="s">
        <v>422</v>
      </c>
      <c r="E79" s="171">
        <v>400</v>
      </c>
      <c r="F79" s="175">
        <v>0</v>
      </c>
      <c r="G79" s="175" t="s">
        <v>399</v>
      </c>
      <c r="H79" s="175">
        <v>0</v>
      </c>
      <c r="I79" s="37" t="s">
        <v>399</v>
      </c>
    </row>
    <row r="80" spans="1:9" ht="14.25" customHeight="1" x14ac:dyDescent="0.3">
      <c r="A80" s="40">
        <v>56</v>
      </c>
      <c r="B80" s="175" t="s">
        <v>138</v>
      </c>
      <c r="C80" s="175" t="s">
        <v>408</v>
      </c>
      <c r="D80" s="175" t="s">
        <v>422</v>
      </c>
      <c r="E80" s="175" t="s">
        <v>405</v>
      </c>
      <c r="F80" s="175">
        <v>0</v>
      </c>
      <c r="G80" s="175" t="s">
        <v>399</v>
      </c>
      <c r="H80" s="175">
        <v>0</v>
      </c>
      <c r="I80" s="37" t="s">
        <v>399</v>
      </c>
    </row>
    <row r="81" spans="1:9" ht="14.25" customHeight="1" x14ac:dyDescent="0.3">
      <c r="A81" s="40">
        <v>57</v>
      </c>
      <c r="B81" s="175" t="s">
        <v>155</v>
      </c>
      <c r="C81" s="175" t="s">
        <v>394</v>
      </c>
      <c r="D81" s="175" t="s">
        <v>422</v>
      </c>
      <c r="E81" s="171">
        <v>400</v>
      </c>
      <c r="F81" s="175">
        <v>0</v>
      </c>
      <c r="G81" s="175" t="s">
        <v>399</v>
      </c>
      <c r="H81" s="175">
        <v>0</v>
      </c>
      <c r="I81" s="37" t="s">
        <v>399</v>
      </c>
    </row>
    <row r="82" spans="1:9" ht="14.25" customHeight="1" x14ac:dyDescent="0.3">
      <c r="A82" s="40">
        <v>58</v>
      </c>
      <c r="B82" s="175" t="s">
        <v>155</v>
      </c>
      <c r="C82" s="175" t="s">
        <v>154</v>
      </c>
      <c r="D82" s="175" t="s">
        <v>422</v>
      </c>
      <c r="E82" s="171">
        <v>400</v>
      </c>
      <c r="F82" s="175">
        <v>0</v>
      </c>
      <c r="G82" s="175" t="s">
        <v>399</v>
      </c>
      <c r="H82" s="175">
        <v>0</v>
      </c>
      <c r="I82" s="37" t="s">
        <v>399</v>
      </c>
    </row>
    <row r="83" spans="1:9" ht="14.25" customHeight="1" x14ac:dyDescent="0.3">
      <c r="A83" s="40">
        <v>59</v>
      </c>
      <c r="B83" s="175" t="s">
        <v>155</v>
      </c>
      <c r="C83" s="175" t="s">
        <v>398</v>
      </c>
      <c r="D83" s="175" t="s">
        <v>422</v>
      </c>
      <c r="E83" s="171">
        <v>400</v>
      </c>
      <c r="F83" s="175">
        <v>0</v>
      </c>
      <c r="G83" s="175" t="s">
        <v>399</v>
      </c>
      <c r="H83" s="175">
        <v>0</v>
      </c>
      <c r="I83" s="37" t="s">
        <v>399</v>
      </c>
    </row>
    <row r="84" spans="1:9" ht="14.25" customHeight="1" x14ac:dyDescent="0.3">
      <c r="A84" s="40">
        <v>60</v>
      </c>
      <c r="B84" s="175" t="s">
        <v>155</v>
      </c>
      <c r="C84" s="175" t="s">
        <v>402</v>
      </c>
      <c r="D84" s="175" t="s">
        <v>422</v>
      </c>
      <c r="E84" s="171">
        <v>400</v>
      </c>
      <c r="F84" s="175">
        <v>0</v>
      </c>
      <c r="G84" s="175" t="s">
        <v>399</v>
      </c>
      <c r="H84" s="175">
        <v>0</v>
      </c>
      <c r="I84" s="37" t="s">
        <v>399</v>
      </c>
    </row>
    <row r="85" spans="1:9" ht="14.25" customHeight="1" x14ac:dyDescent="0.3">
      <c r="A85" s="40">
        <v>61</v>
      </c>
      <c r="B85" s="175" t="s">
        <v>155</v>
      </c>
      <c r="C85" s="175" t="s">
        <v>343</v>
      </c>
      <c r="D85" s="175" t="s">
        <v>422</v>
      </c>
      <c r="E85" s="171">
        <v>400</v>
      </c>
      <c r="F85" s="175">
        <v>0</v>
      </c>
      <c r="G85" s="175" t="s">
        <v>399</v>
      </c>
      <c r="H85" s="175">
        <v>0</v>
      </c>
      <c r="I85" s="37" t="s">
        <v>399</v>
      </c>
    </row>
    <row r="86" spans="1:9" ht="14.25" customHeight="1" x14ac:dyDescent="0.3">
      <c r="A86" s="40">
        <v>62</v>
      </c>
      <c r="B86" s="175" t="s">
        <v>155</v>
      </c>
      <c r="C86" s="175" t="s">
        <v>160</v>
      </c>
      <c r="D86" s="175" t="s">
        <v>422</v>
      </c>
      <c r="E86" s="171">
        <v>400</v>
      </c>
      <c r="F86" s="175">
        <v>0</v>
      </c>
      <c r="G86" s="175" t="s">
        <v>399</v>
      </c>
      <c r="H86" s="175">
        <v>0</v>
      </c>
      <c r="I86" s="37" t="s">
        <v>399</v>
      </c>
    </row>
    <row r="87" spans="1:9" ht="14.25" customHeight="1" x14ac:dyDescent="0.3">
      <c r="A87" s="40">
        <v>63</v>
      </c>
      <c r="B87" s="175" t="s">
        <v>155</v>
      </c>
      <c r="C87" s="175" t="s">
        <v>407</v>
      </c>
      <c r="D87" s="175" t="s">
        <v>422</v>
      </c>
      <c r="E87" s="171">
        <v>400</v>
      </c>
      <c r="F87" s="175">
        <v>0</v>
      </c>
      <c r="G87" s="175" t="s">
        <v>399</v>
      </c>
      <c r="H87" s="175">
        <v>0</v>
      </c>
      <c r="I87" s="37" t="s">
        <v>399</v>
      </c>
    </row>
    <row r="88" spans="1:9" ht="14.25" customHeight="1" x14ac:dyDescent="0.3">
      <c r="A88" s="40">
        <v>64</v>
      </c>
      <c r="B88" s="186" t="s">
        <v>155</v>
      </c>
      <c r="C88" s="186" t="s">
        <v>408</v>
      </c>
      <c r="D88" s="186" t="s">
        <v>422</v>
      </c>
      <c r="E88" s="187">
        <v>400</v>
      </c>
      <c r="F88" s="186">
        <v>0</v>
      </c>
      <c r="G88" s="186" t="s">
        <v>399</v>
      </c>
      <c r="H88" s="186">
        <v>0</v>
      </c>
      <c r="I88" s="43" t="s">
        <v>399</v>
      </c>
    </row>
    <row r="89" spans="1:9" ht="14.25" customHeight="1" x14ac:dyDescent="0.3">
      <c r="A89" s="40">
        <v>65</v>
      </c>
      <c r="B89" s="175" t="s">
        <v>155</v>
      </c>
      <c r="C89" s="175" t="s">
        <v>394</v>
      </c>
      <c r="D89" s="175" t="s">
        <v>422</v>
      </c>
      <c r="E89" s="171">
        <v>400</v>
      </c>
      <c r="F89" s="175">
        <v>0</v>
      </c>
      <c r="G89" s="175" t="s">
        <v>399</v>
      </c>
      <c r="H89" s="175">
        <v>0</v>
      </c>
      <c r="I89" s="37" t="s">
        <v>399</v>
      </c>
    </row>
    <row r="90" spans="1:9" ht="14.25" customHeight="1" x14ac:dyDescent="0.3">
      <c r="A90" s="40">
        <v>66</v>
      </c>
      <c r="B90" s="175" t="s">
        <v>155</v>
      </c>
      <c r="C90" s="175" t="s">
        <v>154</v>
      </c>
      <c r="D90" s="175" t="s">
        <v>422</v>
      </c>
      <c r="E90" s="171">
        <v>400</v>
      </c>
      <c r="F90" s="175">
        <v>0</v>
      </c>
      <c r="G90" s="175" t="s">
        <v>399</v>
      </c>
      <c r="H90" s="175">
        <v>0</v>
      </c>
      <c r="I90" s="37" t="s">
        <v>399</v>
      </c>
    </row>
    <row r="91" spans="1:9" ht="14.25" customHeight="1" x14ac:dyDescent="0.3">
      <c r="A91" s="40">
        <v>67</v>
      </c>
      <c r="B91" s="175" t="s">
        <v>155</v>
      </c>
      <c r="C91" s="175" t="s">
        <v>398</v>
      </c>
      <c r="D91" s="175" t="s">
        <v>422</v>
      </c>
      <c r="E91" s="171">
        <v>400</v>
      </c>
      <c r="F91" s="175">
        <v>0</v>
      </c>
      <c r="G91" s="175" t="s">
        <v>399</v>
      </c>
      <c r="H91" s="175">
        <v>0</v>
      </c>
      <c r="I91" s="37" t="s">
        <v>399</v>
      </c>
    </row>
    <row r="92" spans="1:9" ht="14.25" customHeight="1" x14ac:dyDescent="0.3">
      <c r="A92" s="40">
        <v>68</v>
      </c>
      <c r="B92" s="175" t="s">
        <v>155</v>
      </c>
      <c r="C92" s="175" t="s">
        <v>402</v>
      </c>
      <c r="D92" s="175" t="s">
        <v>422</v>
      </c>
      <c r="E92" s="171">
        <v>400</v>
      </c>
      <c r="F92" s="175">
        <v>0</v>
      </c>
      <c r="G92" s="175" t="s">
        <v>399</v>
      </c>
      <c r="H92" s="175">
        <v>0</v>
      </c>
      <c r="I92" s="37" t="s">
        <v>399</v>
      </c>
    </row>
    <row r="93" spans="1:9" ht="14.25" customHeight="1" x14ac:dyDescent="0.3">
      <c r="A93" s="40">
        <v>69</v>
      </c>
      <c r="B93" s="175" t="s">
        <v>155</v>
      </c>
      <c r="C93" s="175" t="s">
        <v>343</v>
      </c>
      <c r="D93" s="175" t="s">
        <v>422</v>
      </c>
      <c r="E93" s="171">
        <v>400</v>
      </c>
      <c r="F93" s="175">
        <v>0</v>
      </c>
      <c r="G93" s="175" t="s">
        <v>399</v>
      </c>
      <c r="H93" s="175">
        <v>0</v>
      </c>
      <c r="I93" s="37" t="s">
        <v>399</v>
      </c>
    </row>
    <row r="94" spans="1:9" ht="14.25" customHeight="1" x14ac:dyDescent="0.3">
      <c r="A94" s="40">
        <v>70</v>
      </c>
      <c r="B94" s="175" t="s">
        <v>155</v>
      </c>
      <c r="C94" s="175" t="s">
        <v>160</v>
      </c>
      <c r="D94" s="175" t="s">
        <v>422</v>
      </c>
      <c r="E94" s="171">
        <v>400</v>
      </c>
      <c r="F94" s="175">
        <v>0</v>
      </c>
      <c r="G94" s="175" t="s">
        <v>399</v>
      </c>
      <c r="H94" s="175">
        <v>0</v>
      </c>
      <c r="I94" s="37" t="s">
        <v>399</v>
      </c>
    </row>
    <row r="95" spans="1:9" ht="14.25" customHeight="1" x14ac:dyDescent="0.3">
      <c r="A95" s="40">
        <v>71</v>
      </c>
      <c r="B95" s="175" t="s">
        <v>155</v>
      </c>
      <c r="C95" s="175" t="s">
        <v>407</v>
      </c>
      <c r="D95" s="175" t="s">
        <v>422</v>
      </c>
      <c r="E95" s="171">
        <v>400</v>
      </c>
      <c r="F95" s="175">
        <v>0</v>
      </c>
      <c r="G95" s="175" t="s">
        <v>399</v>
      </c>
      <c r="H95" s="175">
        <v>0</v>
      </c>
      <c r="I95" s="37" t="s">
        <v>399</v>
      </c>
    </row>
    <row r="96" spans="1:9" ht="14.25" customHeight="1" x14ac:dyDescent="0.3">
      <c r="A96" s="40">
        <v>72</v>
      </c>
      <c r="B96" s="186" t="s">
        <v>155</v>
      </c>
      <c r="C96" s="186" t="s">
        <v>408</v>
      </c>
      <c r="D96" s="186" t="s">
        <v>422</v>
      </c>
      <c r="E96" s="187">
        <v>400</v>
      </c>
      <c r="F96" s="186">
        <v>0</v>
      </c>
      <c r="G96" s="186" t="s">
        <v>399</v>
      </c>
      <c r="H96" s="186">
        <v>0</v>
      </c>
      <c r="I96" s="43" t="s">
        <v>399</v>
      </c>
    </row>
    <row r="97" spans="1:9" ht="14.25" customHeight="1" x14ac:dyDescent="0.3">
      <c r="A97" s="40">
        <v>73</v>
      </c>
      <c r="B97" s="185" t="s">
        <v>421</v>
      </c>
      <c r="C97" s="185" t="s">
        <v>394</v>
      </c>
      <c r="D97" s="175" t="s">
        <v>422</v>
      </c>
      <c r="E97" s="185" t="s">
        <v>399</v>
      </c>
      <c r="F97" s="185">
        <v>0</v>
      </c>
      <c r="G97" s="185" t="s">
        <v>399</v>
      </c>
      <c r="H97" s="185">
        <v>0</v>
      </c>
      <c r="I97" s="33" t="s">
        <v>395</v>
      </c>
    </row>
    <row r="98" spans="1:9" ht="14.25" customHeight="1" x14ac:dyDescent="0.3">
      <c r="A98" s="40">
        <v>74</v>
      </c>
      <c r="B98" s="175" t="s">
        <v>421</v>
      </c>
      <c r="C98" s="175" t="s">
        <v>154</v>
      </c>
      <c r="D98" s="175" t="s">
        <v>422</v>
      </c>
      <c r="E98" s="175" t="s">
        <v>399</v>
      </c>
      <c r="F98" s="175">
        <v>0</v>
      </c>
      <c r="G98" s="175" t="s">
        <v>399</v>
      </c>
      <c r="H98" s="175">
        <v>0</v>
      </c>
      <c r="I98" s="172" t="s">
        <v>395</v>
      </c>
    </row>
    <row r="99" spans="1:9" ht="14.25" customHeight="1" x14ac:dyDescent="0.3">
      <c r="A99" s="40">
        <v>75</v>
      </c>
      <c r="B99" s="175" t="s">
        <v>421</v>
      </c>
      <c r="C99" s="175" t="s">
        <v>398</v>
      </c>
      <c r="D99" s="175" t="s">
        <v>422</v>
      </c>
      <c r="E99" s="175" t="s">
        <v>399</v>
      </c>
      <c r="F99" s="175">
        <v>0</v>
      </c>
      <c r="G99" s="175" t="s">
        <v>399</v>
      </c>
      <c r="H99" s="175">
        <v>0</v>
      </c>
      <c r="I99" s="172" t="s">
        <v>395</v>
      </c>
    </row>
    <row r="100" spans="1:9" ht="14.25" customHeight="1" x14ac:dyDescent="0.3">
      <c r="A100" s="40">
        <v>76</v>
      </c>
      <c r="B100" s="175" t="s">
        <v>421</v>
      </c>
      <c r="C100" s="175" t="s">
        <v>402</v>
      </c>
      <c r="D100" s="175" t="s">
        <v>422</v>
      </c>
      <c r="E100" s="175" t="s">
        <v>399</v>
      </c>
      <c r="F100" s="175">
        <v>0</v>
      </c>
      <c r="G100" s="175" t="s">
        <v>399</v>
      </c>
      <c r="H100" s="175">
        <v>0</v>
      </c>
      <c r="I100" s="172" t="s">
        <v>395</v>
      </c>
    </row>
    <row r="101" spans="1:9" ht="14.25" customHeight="1" x14ac:dyDescent="0.3">
      <c r="A101" s="40">
        <v>77</v>
      </c>
      <c r="B101" s="175" t="s">
        <v>421</v>
      </c>
      <c r="C101" s="175" t="s">
        <v>343</v>
      </c>
      <c r="D101" s="175" t="s">
        <v>422</v>
      </c>
      <c r="E101" s="175" t="s">
        <v>399</v>
      </c>
      <c r="F101" s="175">
        <v>0</v>
      </c>
      <c r="G101" s="175" t="s">
        <v>399</v>
      </c>
      <c r="H101" s="175">
        <v>0</v>
      </c>
      <c r="I101" s="172" t="s">
        <v>395</v>
      </c>
    </row>
    <row r="102" spans="1:9" ht="14.25" customHeight="1" x14ac:dyDescent="0.3">
      <c r="A102" s="40">
        <v>78</v>
      </c>
      <c r="B102" s="175" t="s">
        <v>421</v>
      </c>
      <c r="C102" s="175" t="s">
        <v>160</v>
      </c>
      <c r="D102" s="175" t="s">
        <v>422</v>
      </c>
      <c r="E102" s="175" t="s">
        <v>399</v>
      </c>
      <c r="F102" s="175">
        <v>0</v>
      </c>
      <c r="G102" s="175" t="s">
        <v>399</v>
      </c>
      <c r="H102" s="175">
        <v>0</v>
      </c>
      <c r="I102" s="172" t="s">
        <v>395</v>
      </c>
    </row>
    <row r="103" spans="1:9" ht="14.25" customHeight="1" x14ac:dyDescent="0.3">
      <c r="A103" s="40">
        <v>79</v>
      </c>
      <c r="B103" s="175" t="s">
        <v>421</v>
      </c>
      <c r="C103" s="175" t="s">
        <v>407</v>
      </c>
      <c r="D103" s="175" t="s">
        <v>422</v>
      </c>
      <c r="E103" s="175" t="s">
        <v>399</v>
      </c>
      <c r="F103" s="175">
        <v>0</v>
      </c>
      <c r="G103" s="175" t="s">
        <v>399</v>
      </c>
      <c r="H103" s="175">
        <v>0</v>
      </c>
      <c r="I103" s="172" t="s">
        <v>395</v>
      </c>
    </row>
    <row r="104" spans="1:9" ht="14.25" customHeight="1" x14ac:dyDescent="0.3">
      <c r="A104" s="40">
        <v>80</v>
      </c>
      <c r="B104" s="186" t="s">
        <v>421</v>
      </c>
      <c r="C104" s="186" t="s">
        <v>408</v>
      </c>
      <c r="D104" s="175" t="s">
        <v>422</v>
      </c>
      <c r="E104" s="186" t="s">
        <v>399</v>
      </c>
      <c r="F104" s="186">
        <v>0</v>
      </c>
      <c r="G104" s="186" t="s">
        <v>399</v>
      </c>
      <c r="H104" s="186">
        <v>0</v>
      </c>
      <c r="I104" s="180" t="s">
        <v>395</v>
      </c>
    </row>
    <row r="105" spans="1:9" ht="14.25" customHeight="1" x14ac:dyDescent="0.3"/>
    <row r="106" spans="1:9" ht="14.25" customHeight="1" x14ac:dyDescent="0.3"/>
    <row r="107" spans="1:9" ht="14.25" customHeight="1" x14ac:dyDescent="0.3"/>
    <row r="108" spans="1:9" ht="14.25" customHeight="1" x14ac:dyDescent="0.3"/>
    <row r="109" spans="1:9" ht="14.25" customHeight="1" x14ac:dyDescent="0.3"/>
    <row r="110" spans="1:9" ht="14.25" customHeight="1" x14ac:dyDescent="0.3"/>
    <row r="111" spans="1:9" ht="14.25" customHeight="1" x14ac:dyDescent="0.3"/>
    <row r="112" spans="1:9"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4.25" customHeight="1" x14ac:dyDescent="0.3"/>
    <row r="284" ht="14.25" customHeight="1" x14ac:dyDescent="0.3"/>
    <row r="285" ht="14.25" customHeight="1" x14ac:dyDescent="0.3"/>
    <row r="286" ht="14.25" customHeight="1" x14ac:dyDescent="0.3"/>
    <row r="287" ht="14.25" customHeight="1" x14ac:dyDescent="0.3"/>
    <row r="288" ht="14.25" customHeight="1" x14ac:dyDescent="0.3"/>
    <row r="289" ht="14.25" customHeight="1" x14ac:dyDescent="0.3"/>
    <row r="290" ht="14.25" customHeight="1" x14ac:dyDescent="0.3"/>
    <row r="291" ht="14.25" customHeight="1" x14ac:dyDescent="0.3"/>
    <row r="292" ht="14.25" customHeight="1" x14ac:dyDescent="0.3"/>
    <row r="293" ht="14.25" customHeight="1" x14ac:dyDescent="0.3"/>
    <row r="294" ht="14.25" customHeight="1" x14ac:dyDescent="0.3"/>
    <row r="295" ht="14.25" customHeight="1" x14ac:dyDescent="0.3"/>
    <row r="296" ht="14.25" customHeight="1" x14ac:dyDescent="0.3"/>
    <row r="297" ht="14.25" customHeight="1" x14ac:dyDescent="0.3"/>
    <row r="298" ht="14.25" customHeight="1" x14ac:dyDescent="0.3"/>
    <row r="299" ht="14.25" customHeight="1" x14ac:dyDescent="0.3"/>
    <row r="300" ht="14.25" customHeight="1" x14ac:dyDescent="0.3"/>
    <row r="301" ht="14.25" customHeight="1" x14ac:dyDescent="0.3"/>
    <row r="302" ht="14.25" customHeight="1" x14ac:dyDescent="0.3"/>
    <row r="303" ht="14.25" customHeight="1" x14ac:dyDescent="0.3"/>
    <row r="304" ht="14.2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dataValidations count="2">
    <dataValidation type="list" allowBlank="1" showErrorMessage="1" sqref="H3" xr:uid="{00000000-0002-0000-1A00-000000000000}">
      <formula1>$C$3:$F$3</formula1>
    </dataValidation>
    <dataValidation type="list" allowBlank="1" showErrorMessage="1" sqref="H2" xr:uid="{00000000-0002-0000-1A00-000001000000}">
      <formula1>$B$4:$B$10</formula1>
    </dataValidation>
  </dataValidations>
  <pageMargins left="0.7" right="0.7" top="0.75" bottom="0.75" header="0" footer="0"/>
  <pageSetup orientation="landscape"/>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Hoja14"/>
  <dimension ref="A1:I1000"/>
  <sheetViews>
    <sheetView workbookViewId="0"/>
  </sheetViews>
  <sheetFormatPr baseColWidth="10" defaultColWidth="14.44140625" defaultRowHeight="15" customHeight="1" x14ac:dyDescent="0.3"/>
  <cols>
    <col min="1" max="1" width="62.33203125" customWidth="1"/>
    <col min="2" max="3" width="18.6640625" customWidth="1"/>
    <col min="4" max="4" width="20.6640625" customWidth="1"/>
    <col min="5" max="5" width="17.44140625" customWidth="1"/>
    <col min="6" max="6" width="20.88671875" customWidth="1"/>
    <col min="7" max="7" width="175.88671875" customWidth="1"/>
    <col min="8" max="8" width="26.33203125" customWidth="1"/>
    <col min="9" max="9" width="27.33203125" customWidth="1"/>
  </cols>
  <sheetData>
    <row r="1" spans="1:9" ht="14.25" customHeight="1" x14ac:dyDescent="0.3">
      <c r="A1" s="25" t="s">
        <v>423</v>
      </c>
    </row>
    <row r="2" spans="1:9" ht="14.25" customHeight="1" x14ac:dyDescent="0.3">
      <c r="A2" s="188"/>
      <c r="B2" s="189" t="s">
        <v>424</v>
      </c>
      <c r="C2" s="189"/>
      <c r="D2" s="189" t="s">
        <v>425</v>
      </c>
      <c r="E2" s="189"/>
      <c r="F2" s="189" t="s">
        <v>426</v>
      </c>
      <c r="G2" s="189"/>
      <c r="H2" s="189" t="s">
        <v>427</v>
      </c>
      <c r="I2" s="190"/>
    </row>
    <row r="3" spans="1:9" ht="25.5" customHeight="1" x14ac:dyDescent="0.3">
      <c r="A3" s="191" t="s">
        <v>428</v>
      </c>
      <c r="B3" s="192" t="s">
        <v>429</v>
      </c>
      <c r="C3" s="192" t="s">
        <v>430</v>
      </c>
      <c r="D3" s="192" t="s">
        <v>431</v>
      </c>
      <c r="E3" s="192" t="s">
        <v>432</v>
      </c>
      <c r="F3" s="192" t="s">
        <v>433</v>
      </c>
      <c r="G3" s="192" t="s">
        <v>434</v>
      </c>
      <c r="H3" s="192" t="s">
        <v>435</v>
      </c>
      <c r="I3" s="193" t="s">
        <v>436</v>
      </c>
    </row>
    <row r="4" spans="1:9" ht="14.25" customHeight="1" x14ac:dyDescent="0.3">
      <c r="A4" s="194" t="s">
        <v>437</v>
      </c>
      <c r="B4" s="195" t="s">
        <v>438</v>
      </c>
      <c r="C4" s="195" t="s">
        <v>142</v>
      </c>
      <c r="D4" s="195" t="s">
        <v>438</v>
      </c>
      <c r="E4" s="195" t="s">
        <v>142</v>
      </c>
      <c r="F4" s="195" t="s">
        <v>142</v>
      </c>
      <c r="G4" s="195" t="s">
        <v>156</v>
      </c>
      <c r="H4" s="195" t="s">
        <v>156</v>
      </c>
      <c r="I4" s="196" t="s">
        <v>157</v>
      </c>
    </row>
    <row r="5" spans="1:9" ht="14.25" customHeight="1" x14ac:dyDescent="0.3">
      <c r="A5" s="194" t="s">
        <v>439</v>
      </c>
      <c r="B5" s="195" t="s">
        <v>440</v>
      </c>
      <c r="C5" s="195" t="s">
        <v>438</v>
      </c>
      <c r="D5" s="195" t="s">
        <v>148</v>
      </c>
      <c r="E5" s="195" t="s">
        <v>438</v>
      </c>
      <c r="F5" s="195" t="s">
        <v>438</v>
      </c>
      <c r="G5" s="195" t="s">
        <v>142</v>
      </c>
      <c r="H5" s="195" t="s">
        <v>142</v>
      </c>
      <c r="I5" s="196" t="s">
        <v>156</v>
      </c>
    </row>
    <row r="6" spans="1:9" ht="14.25" customHeight="1" x14ac:dyDescent="0.3">
      <c r="A6" s="197" t="s">
        <v>441</v>
      </c>
      <c r="B6" s="198" t="s">
        <v>442</v>
      </c>
      <c r="C6" s="198" t="s">
        <v>443</v>
      </c>
      <c r="D6" s="198" t="s">
        <v>444</v>
      </c>
      <c r="E6" s="198" t="s">
        <v>148</v>
      </c>
      <c r="F6" s="198" t="s">
        <v>148</v>
      </c>
      <c r="G6" s="198" t="s">
        <v>438</v>
      </c>
      <c r="H6" s="198" t="s">
        <v>438</v>
      </c>
      <c r="I6" s="199" t="s">
        <v>142</v>
      </c>
    </row>
    <row r="7" spans="1:9" ht="14.25" customHeight="1" x14ac:dyDescent="0.3"/>
    <row r="8" spans="1:9" ht="14.25" customHeight="1" x14ac:dyDescent="0.3"/>
    <row r="9" spans="1:9" ht="14.25" customHeight="1" x14ac:dyDescent="0.3">
      <c r="A9" s="200" t="s">
        <v>385</v>
      </c>
      <c r="B9" s="201" t="s">
        <v>386</v>
      </c>
      <c r="C9" s="201" t="s">
        <v>388</v>
      </c>
      <c r="D9" s="201" t="s">
        <v>387</v>
      </c>
      <c r="E9" s="202" t="s">
        <v>445</v>
      </c>
      <c r="F9" s="202" t="s">
        <v>446</v>
      </c>
      <c r="G9" s="202" t="s">
        <v>447</v>
      </c>
      <c r="H9" s="202" t="s">
        <v>448</v>
      </c>
      <c r="I9" s="202" t="s">
        <v>40</v>
      </c>
    </row>
    <row r="10" spans="1:9" ht="14.25" customHeight="1" x14ac:dyDescent="0.3">
      <c r="A10" s="184">
        <v>1</v>
      </c>
      <c r="B10" s="185" t="s">
        <v>393</v>
      </c>
      <c r="C10" s="175" t="s">
        <v>422</v>
      </c>
      <c r="D10" s="185" t="s">
        <v>394</v>
      </c>
      <c r="E10" s="185" t="s">
        <v>438</v>
      </c>
      <c r="F10" s="185" t="s">
        <v>156</v>
      </c>
      <c r="G10" s="185" t="s">
        <v>157</v>
      </c>
      <c r="H10" s="185" t="s">
        <v>438</v>
      </c>
      <c r="I10" s="33" t="s">
        <v>156</v>
      </c>
    </row>
    <row r="11" spans="1:9" ht="14.25" customHeight="1" x14ac:dyDescent="0.3">
      <c r="A11" s="40">
        <v>2</v>
      </c>
      <c r="B11" s="175" t="s">
        <v>393</v>
      </c>
      <c r="C11" s="175" t="s">
        <v>422</v>
      </c>
      <c r="D11" s="175" t="s">
        <v>154</v>
      </c>
      <c r="E11" s="175" t="s">
        <v>438</v>
      </c>
      <c r="F11" s="175" t="s">
        <v>156</v>
      </c>
      <c r="G11" s="175" t="s">
        <v>157</v>
      </c>
      <c r="H11" s="175" t="s">
        <v>438</v>
      </c>
      <c r="I11" s="37" t="s">
        <v>156</v>
      </c>
    </row>
    <row r="12" spans="1:9" ht="14.25" customHeight="1" x14ac:dyDescent="0.3">
      <c r="A12" s="40">
        <v>3</v>
      </c>
      <c r="B12" s="175" t="s">
        <v>393</v>
      </c>
      <c r="C12" s="175" t="s">
        <v>422</v>
      </c>
      <c r="D12" s="175" t="s">
        <v>398</v>
      </c>
      <c r="E12" s="175" t="s">
        <v>405</v>
      </c>
      <c r="F12" s="175" t="s">
        <v>405</v>
      </c>
      <c r="G12" s="175" t="s">
        <v>405</v>
      </c>
      <c r="H12" s="175" t="s">
        <v>405</v>
      </c>
      <c r="I12" s="37" t="s">
        <v>405</v>
      </c>
    </row>
    <row r="13" spans="1:9" ht="14.25" customHeight="1" x14ac:dyDescent="0.3">
      <c r="A13" s="40">
        <v>4</v>
      </c>
      <c r="B13" s="175" t="s">
        <v>393</v>
      </c>
      <c r="C13" s="175" t="s">
        <v>422</v>
      </c>
      <c r="D13" s="175" t="s">
        <v>402</v>
      </c>
      <c r="E13" s="175" t="s">
        <v>405</v>
      </c>
      <c r="F13" s="175" t="s">
        <v>405</v>
      </c>
      <c r="G13" s="175" t="s">
        <v>405</v>
      </c>
      <c r="H13" s="175" t="s">
        <v>405</v>
      </c>
      <c r="I13" s="37" t="s">
        <v>405</v>
      </c>
    </row>
    <row r="14" spans="1:9" ht="14.25" customHeight="1" x14ac:dyDescent="0.3">
      <c r="A14" s="40">
        <v>5</v>
      </c>
      <c r="B14" s="175" t="s">
        <v>393</v>
      </c>
      <c r="C14" s="175" t="s">
        <v>422</v>
      </c>
      <c r="D14" s="175" t="s">
        <v>343</v>
      </c>
      <c r="E14" s="175" t="s">
        <v>405</v>
      </c>
      <c r="F14" s="175" t="s">
        <v>405</v>
      </c>
      <c r="G14" s="175" t="s">
        <v>405</v>
      </c>
      <c r="H14" s="175" t="s">
        <v>405</v>
      </c>
      <c r="I14" s="37" t="s">
        <v>405</v>
      </c>
    </row>
    <row r="15" spans="1:9" ht="14.25" customHeight="1" x14ac:dyDescent="0.3">
      <c r="A15" s="40">
        <v>6</v>
      </c>
      <c r="B15" s="175" t="s">
        <v>393</v>
      </c>
      <c r="C15" s="175" t="s">
        <v>422</v>
      </c>
      <c r="D15" s="175" t="s">
        <v>160</v>
      </c>
      <c r="E15" s="175" t="s">
        <v>405</v>
      </c>
      <c r="F15" s="175" t="s">
        <v>405</v>
      </c>
      <c r="G15" s="175" t="s">
        <v>405</v>
      </c>
      <c r="H15" s="175" t="s">
        <v>405</v>
      </c>
      <c r="I15" s="37" t="s">
        <v>405</v>
      </c>
    </row>
    <row r="16" spans="1:9" ht="14.25" customHeight="1" x14ac:dyDescent="0.3">
      <c r="A16" s="40">
        <v>7</v>
      </c>
      <c r="B16" s="175" t="s">
        <v>393</v>
      </c>
      <c r="C16" s="175" t="s">
        <v>422</v>
      </c>
      <c r="D16" s="175" t="s">
        <v>407</v>
      </c>
      <c r="E16" s="175" t="s">
        <v>405</v>
      </c>
      <c r="F16" s="175" t="s">
        <v>405</v>
      </c>
      <c r="G16" s="175" t="s">
        <v>405</v>
      </c>
      <c r="H16" s="175" t="s">
        <v>405</v>
      </c>
      <c r="I16" s="37" t="s">
        <v>405</v>
      </c>
    </row>
    <row r="17" spans="1:9" ht="14.25" customHeight="1" x14ac:dyDescent="0.3">
      <c r="A17" s="40">
        <v>8</v>
      </c>
      <c r="B17" s="175" t="s">
        <v>393</v>
      </c>
      <c r="C17" s="175" t="s">
        <v>422</v>
      </c>
      <c r="D17" s="175" t="s">
        <v>408</v>
      </c>
      <c r="E17" s="175" t="s">
        <v>405</v>
      </c>
      <c r="F17" s="175" t="s">
        <v>405</v>
      </c>
      <c r="G17" s="175" t="s">
        <v>405</v>
      </c>
      <c r="H17" s="175" t="s">
        <v>405</v>
      </c>
      <c r="I17" s="37" t="s">
        <v>405</v>
      </c>
    </row>
    <row r="18" spans="1:9" ht="14.25" customHeight="1" x14ac:dyDescent="0.3">
      <c r="A18" s="40">
        <v>9</v>
      </c>
      <c r="B18" s="175" t="s">
        <v>409</v>
      </c>
      <c r="C18" s="175" t="s">
        <v>422</v>
      </c>
      <c r="D18" s="175" t="s">
        <v>394</v>
      </c>
      <c r="E18" s="175" t="s">
        <v>438</v>
      </c>
      <c r="F18" s="175" t="s">
        <v>156</v>
      </c>
      <c r="G18" s="175" t="s">
        <v>157</v>
      </c>
      <c r="H18" s="175" t="s">
        <v>438</v>
      </c>
      <c r="I18" s="37" t="s">
        <v>156</v>
      </c>
    </row>
    <row r="19" spans="1:9" ht="14.25" customHeight="1" x14ac:dyDescent="0.3">
      <c r="A19" s="40">
        <v>10</v>
      </c>
      <c r="B19" s="175" t="s">
        <v>409</v>
      </c>
      <c r="C19" s="175" t="s">
        <v>422</v>
      </c>
      <c r="D19" s="175" t="s">
        <v>154</v>
      </c>
      <c r="E19" s="175" t="s">
        <v>438</v>
      </c>
      <c r="F19" s="175" t="s">
        <v>156</v>
      </c>
      <c r="G19" s="175" t="s">
        <v>157</v>
      </c>
      <c r="H19" s="175" t="s">
        <v>438</v>
      </c>
      <c r="I19" s="37" t="s">
        <v>156</v>
      </c>
    </row>
    <row r="20" spans="1:9" ht="14.25" customHeight="1" x14ac:dyDescent="0.3">
      <c r="A20" s="40">
        <v>11</v>
      </c>
      <c r="B20" s="175" t="s">
        <v>409</v>
      </c>
      <c r="C20" s="175" t="s">
        <v>422</v>
      </c>
      <c r="D20" s="175" t="s">
        <v>398</v>
      </c>
      <c r="E20" s="175" t="s">
        <v>148</v>
      </c>
      <c r="F20" s="175" t="s">
        <v>142</v>
      </c>
      <c r="G20" s="175" t="s">
        <v>143</v>
      </c>
      <c r="H20" s="175" t="s">
        <v>148</v>
      </c>
      <c r="I20" s="37" t="s">
        <v>142</v>
      </c>
    </row>
    <row r="21" spans="1:9" ht="14.25" customHeight="1" x14ac:dyDescent="0.3">
      <c r="A21" s="40">
        <v>12</v>
      </c>
      <c r="B21" s="175" t="s">
        <v>409</v>
      </c>
      <c r="C21" s="175" t="s">
        <v>422</v>
      </c>
      <c r="D21" s="175" t="s">
        <v>402</v>
      </c>
      <c r="E21" s="175" t="s">
        <v>148</v>
      </c>
      <c r="F21" s="175" t="s">
        <v>142</v>
      </c>
      <c r="G21" s="175" t="s">
        <v>143</v>
      </c>
      <c r="H21" s="175" t="s">
        <v>148</v>
      </c>
      <c r="I21" s="37" t="s">
        <v>142</v>
      </c>
    </row>
    <row r="22" spans="1:9" ht="14.25" customHeight="1" x14ac:dyDescent="0.3">
      <c r="A22" s="40">
        <v>13</v>
      </c>
      <c r="B22" s="175" t="s">
        <v>409</v>
      </c>
      <c r="C22" s="175" t="s">
        <v>422</v>
      </c>
      <c r="D22" s="175" t="s">
        <v>343</v>
      </c>
      <c r="E22" s="175" t="s">
        <v>148</v>
      </c>
      <c r="F22" s="175" t="s">
        <v>142</v>
      </c>
      <c r="G22" s="175" t="s">
        <v>143</v>
      </c>
      <c r="H22" s="175" t="s">
        <v>148</v>
      </c>
      <c r="I22" s="37" t="s">
        <v>142</v>
      </c>
    </row>
    <row r="23" spans="1:9" ht="14.25" customHeight="1" x14ac:dyDescent="0.3">
      <c r="A23" s="40">
        <v>14</v>
      </c>
      <c r="B23" s="175" t="s">
        <v>409</v>
      </c>
      <c r="C23" s="175" t="s">
        <v>422</v>
      </c>
      <c r="D23" s="175" t="s">
        <v>160</v>
      </c>
      <c r="E23" s="175" t="s">
        <v>405</v>
      </c>
      <c r="F23" s="175" t="s">
        <v>405</v>
      </c>
      <c r="G23" s="175" t="s">
        <v>405</v>
      </c>
      <c r="H23" s="175" t="s">
        <v>405</v>
      </c>
      <c r="I23" s="37" t="s">
        <v>405</v>
      </c>
    </row>
    <row r="24" spans="1:9" ht="14.25" customHeight="1" x14ac:dyDescent="0.3">
      <c r="A24" s="40">
        <v>15</v>
      </c>
      <c r="B24" s="175" t="s">
        <v>409</v>
      </c>
      <c r="C24" s="175" t="s">
        <v>422</v>
      </c>
      <c r="D24" s="175" t="s">
        <v>407</v>
      </c>
      <c r="E24" s="175" t="s">
        <v>405</v>
      </c>
      <c r="F24" s="175" t="s">
        <v>405</v>
      </c>
      <c r="G24" s="175" t="s">
        <v>405</v>
      </c>
      <c r="H24" s="175" t="s">
        <v>405</v>
      </c>
      <c r="I24" s="37" t="s">
        <v>405</v>
      </c>
    </row>
    <row r="25" spans="1:9" ht="14.25" customHeight="1" x14ac:dyDescent="0.3">
      <c r="A25" s="40">
        <v>16</v>
      </c>
      <c r="B25" s="175" t="s">
        <v>409</v>
      </c>
      <c r="C25" s="175" t="s">
        <v>422</v>
      </c>
      <c r="D25" s="175" t="s">
        <v>408</v>
      </c>
      <c r="E25" s="175" t="s">
        <v>405</v>
      </c>
      <c r="F25" s="175" t="s">
        <v>405</v>
      </c>
      <c r="G25" s="175" t="s">
        <v>405</v>
      </c>
      <c r="H25" s="175" t="s">
        <v>405</v>
      </c>
      <c r="I25" s="37" t="s">
        <v>405</v>
      </c>
    </row>
    <row r="26" spans="1:9" ht="14.25" customHeight="1" x14ac:dyDescent="0.3">
      <c r="A26" s="40">
        <v>17</v>
      </c>
      <c r="B26" s="175" t="s">
        <v>138</v>
      </c>
      <c r="C26" s="175" t="s">
        <v>422</v>
      </c>
      <c r="D26" s="175" t="s">
        <v>394</v>
      </c>
      <c r="E26" s="175" t="s">
        <v>142</v>
      </c>
      <c r="F26" s="175" t="s">
        <v>143</v>
      </c>
      <c r="G26" s="175" t="s">
        <v>144</v>
      </c>
      <c r="H26" s="175" t="s">
        <v>142</v>
      </c>
      <c r="I26" s="37" t="s">
        <v>143</v>
      </c>
    </row>
    <row r="27" spans="1:9" ht="14.25" customHeight="1" x14ac:dyDescent="0.3">
      <c r="A27" s="40">
        <v>18</v>
      </c>
      <c r="B27" s="175" t="s">
        <v>138</v>
      </c>
      <c r="C27" s="175" t="s">
        <v>422</v>
      </c>
      <c r="D27" s="175" t="s">
        <v>154</v>
      </c>
      <c r="E27" s="175" t="s">
        <v>142</v>
      </c>
      <c r="F27" s="175" t="s">
        <v>143</v>
      </c>
      <c r="G27" s="175" t="s">
        <v>144</v>
      </c>
      <c r="H27" s="175" t="s">
        <v>142</v>
      </c>
      <c r="I27" s="37" t="s">
        <v>143</v>
      </c>
    </row>
    <row r="28" spans="1:9" ht="14.25" customHeight="1" x14ac:dyDescent="0.3">
      <c r="A28" s="40">
        <v>19</v>
      </c>
      <c r="B28" s="175" t="s">
        <v>138</v>
      </c>
      <c r="C28" s="175" t="s">
        <v>422</v>
      </c>
      <c r="D28" s="175" t="s">
        <v>398</v>
      </c>
      <c r="E28" s="175" t="s">
        <v>438</v>
      </c>
      <c r="F28" s="175" t="s">
        <v>156</v>
      </c>
      <c r="G28" s="175" t="s">
        <v>157</v>
      </c>
      <c r="H28" s="175" t="s">
        <v>438</v>
      </c>
      <c r="I28" s="37" t="s">
        <v>156</v>
      </c>
    </row>
    <row r="29" spans="1:9" ht="14.25" customHeight="1" x14ac:dyDescent="0.3">
      <c r="A29" s="40">
        <v>20</v>
      </c>
      <c r="B29" s="175" t="s">
        <v>138</v>
      </c>
      <c r="C29" s="175" t="s">
        <v>422</v>
      </c>
      <c r="D29" s="175" t="s">
        <v>402</v>
      </c>
      <c r="E29" s="175" t="s">
        <v>438</v>
      </c>
      <c r="F29" s="175" t="s">
        <v>156</v>
      </c>
      <c r="G29" s="175" t="s">
        <v>157</v>
      </c>
      <c r="H29" s="175" t="s">
        <v>438</v>
      </c>
      <c r="I29" s="37" t="s">
        <v>156</v>
      </c>
    </row>
    <row r="30" spans="1:9" ht="14.25" customHeight="1" x14ac:dyDescent="0.3">
      <c r="A30" s="40">
        <v>21</v>
      </c>
      <c r="B30" s="175" t="s">
        <v>138</v>
      </c>
      <c r="C30" s="175" t="s">
        <v>422</v>
      </c>
      <c r="D30" s="175" t="s">
        <v>343</v>
      </c>
      <c r="E30" s="175" t="s">
        <v>438</v>
      </c>
      <c r="F30" s="175" t="s">
        <v>156</v>
      </c>
      <c r="G30" s="175" t="s">
        <v>157</v>
      </c>
      <c r="H30" s="175" t="s">
        <v>438</v>
      </c>
      <c r="I30" s="37" t="s">
        <v>156</v>
      </c>
    </row>
    <row r="31" spans="1:9" ht="14.25" customHeight="1" x14ac:dyDescent="0.3">
      <c r="A31" s="40">
        <v>22</v>
      </c>
      <c r="B31" s="175" t="s">
        <v>138</v>
      </c>
      <c r="C31" s="175" t="s">
        <v>422</v>
      </c>
      <c r="D31" s="175" t="s">
        <v>160</v>
      </c>
      <c r="E31" s="175" t="s">
        <v>148</v>
      </c>
      <c r="F31" s="175" t="s">
        <v>142</v>
      </c>
      <c r="G31" s="175" t="s">
        <v>143</v>
      </c>
      <c r="H31" s="175" t="s">
        <v>148</v>
      </c>
      <c r="I31" s="37" t="s">
        <v>142</v>
      </c>
    </row>
    <row r="32" spans="1:9" ht="14.25" customHeight="1" x14ac:dyDescent="0.3">
      <c r="A32" s="40">
        <v>23</v>
      </c>
      <c r="B32" s="175" t="s">
        <v>138</v>
      </c>
      <c r="C32" s="175" t="s">
        <v>422</v>
      </c>
      <c r="D32" s="175" t="s">
        <v>407</v>
      </c>
      <c r="E32" s="175" t="s">
        <v>148</v>
      </c>
      <c r="F32" s="175" t="s">
        <v>142</v>
      </c>
      <c r="G32" s="175" t="s">
        <v>143</v>
      </c>
      <c r="H32" s="175" t="s">
        <v>148</v>
      </c>
      <c r="I32" s="37" t="s">
        <v>142</v>
      </c>
    </row>
    <row r="33" spans="1:9" ht="14.25" customHeight="1" x14ac:dyDescent="0.3">
      <c r="A33" s="40">
        <v>24</v>
      </c>
      <c r="B33" s="175" t="s">
        <v>138</v>
      </c>
      <c r="C33" s="175" t="s">
        <v>422</v>
      </c>
      <c r="D33" s="175" t="s">
        <v>408</v>
      </c>
      <c r="E33" s="175" t="s">
        <v>148</v>
      </c>
      <c r="F33" s="175" t="s">
        <v>142</v>
      </c>
      <c r="G33" s="175" t="s">
        <v>143</v>
      </c>
      <c r="H33" s="175" t="s">
        <v>148</v>
      </c>
      <c r="I33" s="37" t="s">
        <v>142</v>
      </c>
    </row>
    <row r="34" spans="1:9" ht="14.25" customHeight="1" x14ac:dyDescent="0.3">
      <c r="A34" s="40">
        <v>25</v>
      </c>
      <c r="B34" s="175" t="s">
        <v>155</v>
      </c>
      <c r="C34" s="175" t="s">
        <v>422</v>
      </c>
      <c r="D34" s="175" t="s">
        <v>394</v>
      </c>
      <c r="E34" s="175" t="s">
        <v>156</v>
      </c>
      <c r="F34" s="175" t="s">
        <v>157</v>
      </c>
      <c r="G34" s="175" t="s">
        <v>158</v>
      </c>
      <c r="H34" s="175" t="s">
        <v>156</v>
      </c>
      <c r="I34" s="37" t="s">
        <v>157</v>
      </c>
    </row>
    <row r="35" spans="1:9" ht="14.25" customHeight="1" x14ac:dyDescent="0.3">
      <c r="A35" s="40">
        <v>26</v>
      </c>
      <c r="B35" s="175" t="s">
        <v>155</v>
      </c>
      <c r="C35" s="175" t="s">
        <v>422</v>
      </c>
      <c r="D35" s="175" t="s">
        <v>154</v>
      </c>
      <c r="E35" s="175" t="s">
        <v>156</v>
      </c>
      <c r="F35" s="175" t="s">
        <v>157</v>
      </c>
      <c r="G35" s="175" t="s">
        <v>158</v>
      </c>
      <c r="H35" s="175" t="s">
        <v>156</v>
      </c>
      <c r="I35" s="37" t="s">
        <v>157</v>
      </c>
    </row>
    <row r="36" spans="1:9" ht="14.25" customHeight="1" x14ac:dyDescent="0.3">
      <c r="A36" s="40">
        <v>27</v>
      </c>
      <c r="B36" s="175" t="s">
        <v>155</v>
      </c>
      <c r="C36" s="175" t="s">
        <v>422</v>
      </c>
      <c r="D36" s="175" t="s">
        <v>398</v>
      </c>
      <c r="E36" s="175" t="s">
        <v>142</v>
      </c>
      <c r="F36" s="175" t="s">
        <v>143</v>
      </c>
      <c r="G36" s="175" t="s">
        <v>144</v>
      </c>
      <c r="H36" s="175" t="s">
        <v>142</v>
      </c>
      <c r="I36" s="37" t="s">
        <v>143</v>
      </c>
    </row>
    <row r="37" spans="1:9" ht="14.25" customHeight="1" x14ac:dyDescent="0.3">
      <c r="A37" s="40">
        <v>28</v>
      </c>
      <c r="B37" s="175" t="s">
        <v>155</v>
      </c>
      <c r="C37" s="175" t="s">
        <v>422</v>
      </c>
      <c r="D37" s="175" t="s">
        <v>402</v>
      </c>
      <c r="E37" s="175" t="s">
        <v>142</v>
      </c>
      <c r="F37" s="175" t="s">
        <v>143</v>
      </c>
      <c r="G37" s="175" t="s">
        <v>144</v>
      </c>
      <c r="H37" s="175" t="s">
        <v>142</v>
      </c>
      <c r="I37" s="37" t="s">
        <v>143</v>
      </c>
    </row>
    <row r="38" spans="1:9" ht="14.25" customHeight="1" x14ac:dyDescent="0.3">
      <c r="A38" s="40">
        <v>29</v>
      </c>
      <c r="B38" s="175" t="s">
        <v>155</v>
      </c>
      <c r="C38" s="175" t="s">
        <v>422</v>
      </c>
      <c r="D38" s="175" t="s">
        <v>343</v>
      </c>
      <c r="E38" s="175" t="s">
        <v>142</v>
      </c>
      <c r="F38" s="175" t="s">
        <v>143</v>
      </c>
      <c r="G38" s="175" t="s">
        <v>144</v>
      </c>
      <c r="H38" s="175" t="s">
        <v>142</v>
      </c>
      <c r="I38" s="37" t="s">
        <v>143</v>
      </c>
    </row>
    <row r="39" spans="1:9" ht="14.25" customHeight="1" x14ac:dyDescent="0.3">
      <c r="A39" s="40">
        <v>30</v>
      </c>
      <c r="B39" s="175" t="s">
        <v>155</v>
      </c>
      <c r="C39" s="175" t="s">
        <v>422</v>
      </c>
      <c r="D39" s="175" t="s">
        <v>160</v>
      </c>
      <c r="E39" s="175" t="s">
        <v>438</v>
      </c>
      <c r="F39" s="175" t="s">
        <v>156</v>
      </c>
      <c r="G39" s="175" t="s">
        <v>157</v>
      </c>
      <c r="H39" s="175" t="s">
        <v>438</v>
      </c>
      <c r="I39" s="37" t="s">
        <v>156</v>
      </c>
    </row>
    <row r="40" spans="1:9" ht="14.25" customHeight="1" x14ac:dyDescent="0.3">
      <c r="A40" s="40">
        <v>31</v>
      </c>
      <c r="B40" s="175" t="s">
        <v>155</v>
      </c>
      <c r="C40" s="175" t="s">
        <v>422</v>
      </c>
      <c r="D40" s="175" t="s">
        <v>407</v>
      </c>
      <c r="E40" s="175" t="s">
        <v>438</v>
      </c>
      <c r="F40" s="175" t="s">
        <v>156</v>
      </c>
      <c r="G40" s="175" t="s">
        <v>157</v>
      </c>
      <c r="H40" s="175" t="s">
        <v>438</v>
      </c>
      <c r="I40" s="37" t="s">
        <v>156</v>
      </c>
    </row>
    <row r="41" spans="1:9" ht="14.25" customHeight="1" x14ac:dyDescent="0.3">
      <c r="A41" s="40">
        <v>32</v>
      </c>
      <c r="B41" s="175" t="s">
        <v>155</v>
      </c>
      <c r="C41" s="175" t="s">
        <v>422</v>
      </c>
      <c r="D41" s="175" t="s">
        <v>408</v>
      </c>
      <c r="E41" s="175" t="s">
        <v>449</v>
      </c>
      <c r="F41" s="175" t="s">
        <v>156</v>
      </c>
      <c r="G41" s="175" t="s">
        <v>157</v>
      </c>
      <c r="H41" s="175" t="s">
        <v>449</v>
      </c>
      <c r="I41" s="37" t="s">
        <v>156</v>
      </c>
    </row>
    <row r="42" spans="1:9" ht="14.25" customHeight="1" x14ac:dyDescent="0.3">
      <c r="A42" s="40">
        <v>33</v>
      </c>
      <c r="B42" s="175" t="s">
        <v>421</v>
      </c>
      <c r="C42" s="175" t="s">
        <v>422</v>
      </c>
      <c r="D42" s="175" t="s">
        <v>394</v>
      </c>
      <c r="E42" s="175" t="s">
        <v>269</v>
      </c>
      <c r="F42" s="175" t="s">
        <v>269</v>
      </c>
      <c r="G42" s="175" t="s">
        <v>269</v>
      </c>
      <c r="H42" s="175" t="s">
        <v>269</v>
      </c>
      <c r="I42" s="37" t="s">
        <v>269</v>
      </c>
    </row>
    <row r="43" spans="1:9" ht="14.25" customHeight="1" x14ac:dyDescent="0.3">
      <c r="A43" s="40">
        <v>34</v>
      </c>
      <c r="B43" s="175" t="s">
        <v>421</v>
      </c>
      <c r="C43" s="175" t="s">
        <v>422</v>
      </c>
      <c r="D43" s="175" t="s">
        <v>154</v>
      </c>
      <c r="E43" s="175" t="s">
        <v>269</v>
      </c>
      <c r="F43" s="175" t="s">
        <v>269</v>
      </c>
      <c r="G43" s="175" t="s">
        <v>269</v>
      </c>
      <c r="H43" s="175" t="s">
        <v>269</v>
      </c>
      <c r="I43" s="37" t="s">
        <v>269</v>
      </c>
    </row>
    <row r="44" spans="1:9" ht="14.25" customHeight="1" x14ac:dyDescent="0.3">
      <c r="A44" s="40">
        <v>35</v>
      </c>
      <c r="B44" s="175" t="s">
        <v>421</v>
      </c>
      <c r="C44" s="175" t="s">
        <v>422</v>
      </c>
      <c r="D44" s="175" t="s">
        <v>398</v>
      </c>
      <c r="E44" s="175" t="s">
        <v>269</v>
      </c>
      <c r="F44" s="175" t="s">
        <v>269</v>
      </c>
      <c r="G44" s="175" t="s">
        <v>269</v>
      </c>
      <c r="H44" s="175" t="s">
        <v>269</v>
      </c>
      <c r="I44" s="37" t="s">
        <v>269</v>
      </c>
    </row>
    <row r="45" spans="1:9" ht="14.25" customHeight="1" x14ac:dyDescent="0.3">
      <c r="A45" s="40">
        <v>36</v>
      </c>
      <c r="B45" s="175" t="s">
        <v>421</v>
      </c>
      <c r="C45" s="175" t="s">
        <v>422</v>
      </c>
      <c r="D45" s="175" t="s">
        <v>402</v>
      </c>
      <c r="E45" s="175" t="s">
        <v>269</v>
      </c>
      <c r="F45" s="175" t="s">
        <v>269</v>
      </c>
      <c r="G45" s="175" t="s">
        <v>269</v>
      </c>
      <c r="H45" s="175" t="s">
        <v>269</v>
      </c>
      <c r="I45" s="37" t="s">
        <v>269</v>
      </c>
    </row>
    <row r="46" spans="1:9" ht="14.25" customHeight="1" x14ac:dyDescent="0.3">
      <c r="A46" s="40">
        <v>37</v>
      </c>
      <c r="B46" s="175" t="s">
        <v>421</v>
      </c>
      <c r="C46" s="175" t="s">
        <v>422</v>
      </c>
      <c r="D46" s="175" t="s">
        <v>343</v>
      </c>
      <c r="E46" s="175" t="s">
        <v>269</v>
      </c>
      <c r="F46" s="175" t="s">
        <v>269</v>
      </c>
      <c r="G46" s="175" t="s">
        <v>269</v>
      </c>
      <c r="H46" s="175" t="s">
        <v>269</v>
      </c>
      <c r="I46" s="37" t="s">
        <v>269</v>
      </c>
    </row>
    <row r="47" spans="1:9" ht="14.25" customHeight="1" x14ac:dyDescent="0.3">
      <c r="A47" s="40">
        <v>38</v>
      </c>
      <c r="B47" s="175" t="s">
        <v>421</v>
      </c>
      <c r="C47" s="175" t="s">
        <v>422</v>
      </c>
      <c r="D47" s="175" t="s">
        <v>160</v>
      </c>
      <c r="E47" s="175" t="s">
        <v>269</v>
      </c>
      <c r="F47" s="175" t="s">
        <v>269</v>
      </c>
      <c r="G47" s="175" t="s">
        <v>269</v>
      </c>
      <c r="H47" s="175" t="s">
        <v>269</v>
      </c>
      <c r="I47" s="37" t="s">
        <v>269</v>
      </c>
    </row>
    <row r="48" spans="1:9" ht="14.25" customHeight="1" x14ac:dyDescent="0.3">
      <c r="A48" s="40">
        <v>39</v>
      </c>
      <c r="B48" s="175" t="s">
        <v>421</v>
      </c>
      <c r="C48" s="175" t="s">
        <v>422</v>
      </c>
      <c r="D48" s="175" t="s">
        <v>407</v>
      </c>
      <c r="E48" s="175" t="s">
        <v>269</v>
      </c>
      <c r="F48" s="175" t="s">
        <v>269</v>
      </c>
      <c r="G48" s="175" t="s">
        <v>269</v>
      </c>
      <c r="H48" s="175" t="s">
        <v>269</v>
      </c>
      <c r="I48" s="37" t="s">
        <v>269</v>
      </c>
    </row>
    <row r="49" spans="1:9" ht="14.25" customHeight="1" x14ac:dyDescent="0.3">
      <c r="A49" s="182">
        <v>40</v>
      </c>
      <c r="B49" s="183" t="s">
        <v>421</v>
      </c>
      <c r="C49" s="183" t="s">
        <v>422</v>
      </c>
      <c r="D49" s="183" t="s">
        <v>408</v>
      </c>
      <c r="E49" s="183" t="s">
        <v>269</v>
      </c>
      <c r="F49" s="183" t="s">
        <v>269</v>
      </c>
      <c r="G49" s="183" t="s">
        <v>269</v>
      </c>
      <c r="H49" s="183" t="s">
        <v>269</v>
      </c>
      <c r="I49" s="203" t="s">
        <v>269</v>
      </c>
    </row>
    <row r="50" spans="1:9" ht="14.25" customHeight="1" x14ac:dyDescent="0.3">
      <c r="A50" s="184">
        <v>41</v>
      </c>
      <c r="B50" s="185" t="s">
        <v>393</v>
      </c>
      <c r="C50" s="185" t="s">
        <v>139</v>
      </c>
      <c r="D50" s="185" t="s">
        <v>394</v>
      </c>
      <c r="E50" s="185" t="s">
        <v>142</v>
      </c>
      <c r="F50" s="185" t="s">
        <v>143</v>
      </c>
      <c r="G50" s="185" t="s">
        <v>144</v>
      </c>
      <c r="H50" s="185" t="s">
        <v>142</v>
      </c>
      <c r="I50" s="33" t="s">
        <v>143</v>
      </c>
    </row>
    <row r="51" spans="1:9" ht="14.25" customHeight="1" x14ac:dyDescent="0.3">
      <c r="A51" s="40">
        <v>42</v>
      </c>
      <c r="B51" s="175" t="s">
        <v>393</v>
      </c>
      <c r="C51" s="175" t="s">
        <v>139</v>
      </c>
      <c r="D51" s="175" t="s">
        <v>154</v>
      </c>
      <c r="E51" s="175" t="s">
        <v>142</v>
      </c>
      <c r="F51" s="175" t="s">
        <v>143</v>
      </c>
      <c r="G51" s="175" t="s">
        <v>144</v>
      </c>
      <c r="H51" s="175" t="s">
        <v>142</v>
      </c>
      <c r="I51" s="37" t="s">
        <v>143</v>
      </c>
    </row>
    <row r="52" spans="1:9" ht="14.25" customHeight="1" x14ac:dyDescent="0.3">
      <c r="A52" s="40">
        <v>43</v>
      </c>
      <c r="B52" s="175" t="s">
        <v>393</v>
      </c>
      <c r="C52" s="175" t="s">
        <v>139</v>
      </c>
      <c r="D52" s="175" t="s">
        <v>398</v>
      </c>
      <c r="E52" s="175" t="s">
        <v>438</v>
      </c>
      <c r="F52" s="175" t="s">
        <v>156</v>
      </c>
      <c r="G52" s="175" t="s">
        <v>157</v>
      </c>
      <c r="H52" s="175" t="s">
        <v>438</v>
      </c>
      <c r="I52" s="37" t="s">
        <v>156</v>
      </c>
    </row>
    <row r="53" spans="1:9" ht="14.25" customHeight="1" x14ac:dyDescent="0.3">
      <c r="A53" s="40">
        <v>44</v>
      </c>
      <c r="B53" s="175" t="s">
        <v>393</v>
      </c>
      <c r="C53" s="175" t="s">
        <v>139</v>
      </c>
      <c r="D53" s="175" t="s">
        <v>402</v>
      </c>
      <c r="E53" s="175" t="s">
        <v>438</v>
      </c>
      <c r="F53" s="175" t="s">
        <v>156</v>
      </c>
      <c r="G53" s="175" t="s">
        <v>157</v>
      </c>
      <c r="H53" s="175" t="s">
        <v>438</v>
      </c>
      <c r="I53" s="37" t="s">
        <v>156</v>
      </c>
    </row>
    <row r="54" spans="1:9" ht="14.25" customHeight="1" x14ac:dyDescent="0.3">
      <c r="A54" s="40">
        <v>45</v>
      </c>
      <c r="B54" s="175" t="s">
        <v>393</v>
      </c>
      <c r="C54" s="175" t="s">
        <v>139</v>
      </c>
      <c r="D54" s="175" t="s">
        <v>343</v>
      </c>
      <c r="E54" s="175" t="s">
        <v>438</v>
      </c>
      <c r="F54" s="175" t="s">
        <v>156</v>
      </c>
      <c r="G54" s="175" t="s">
        <v>157</v>
      </c>
      <c r="H54" s="175" t="s">
        <v>438</v>
      </c>
      <c r="I54" s="37" t="s">
        <v>156</v>
      </c>
    </row>
    <row r="55" spans="1:9" ht="14.25" customHeight="1" x14ac:dyDescent="0.3">
      <c r="A55" s="40">
        <v>46</v>
      </c>
      <c r="B55" s="175" t="s">
        <v>393</v>
      </c>
      <c r="C55" s="175" t="s">
        <v>139</v>
      </c>
      <c r="D55" s="175" t="s">
        <v>160</v>
      </c>
      <c r="E55" s="175" t="s">
        <v>405</v>
      </c>
      <c r="F55" s="175" t="s">
        <v>405</v>
      </c>
      <c r="G55" s="175" t="s">
        <v>405</v>
      </c>
      <c r="H55" s="175" t="s">
        <v>405</v>
      </c>
      <c r="I55" s="37" t="s">
        <v>405</v>
      </c>
    </row>
    <row r="56" spans="1:9" ht="14.25" customHeight="1" x14ac:dyDescent="0.3">
      <c r="A56" s="40">
        <v>47</v>
      </c>
      <c r="B56" s="175" t="s">
        <v>393</v>
      </c>
      <c r="C56" s="175" t="s">
        <v>139</v>
      </c>
      <c r="D56" s="175" t="s">
        <v>407</v>
      </c>
      <c r="E56" s="175" t="s">
        <v>405</v>
      </c>
      <c r="F56" s="175" t="s">
        <v>405</v>
      </c>
      <c r="G56" s="175" t="s">
        <v>405</v>
      </c>
      <c r="H56" s="175" t="s">
        <v>405</v>
      </c>
      <c r="I56" s="37" t="s">
        <v>405</v>
      </c>
    </row>
    <row r="57" spans="1:9" ht="14.25" customHeight="1" x14ac:dyDescent="0.3">
      <c r="A57" s="40">
        <v>48</v>
      </c>
      <c r="B57" s="175" t="s">
        <v>393</v>
      </c>
      <c r="C57" s="175" t="s">
        <v>139</v>
      </c>
      <c r="D57" s="175" t="s">
        <v>408</v>
      </c>
      <c r="E57" s="175" t="s">
        <v>405</v>
      </c>
      <c r="F57" s="175" t="s">
        <v>405</v>
      </c>
      <c r="G57" s="175" t="s">
        <v>405</v>
      </c>
      <c r="H57" s="175" t="s">
        <v>405</v>
      </c>
      <c r="I57" s="37" t="s">
        <v>405</v>
      </c>
    </row>
    <row r="58" spans="1:9" ht="14.25" customHeight="1" x14ac:dyDescent="0.3">
      <c r="A58" s="40">
        <v>49</v>
      </c>
      <c r="B58" s="175" t="s">
        <v>409</v>
      </c>
      <c r="C58" s="175" t="s">
        <v>139</v>
      </c>
      <c r="D58" s="175" t="s">
        <v>394</v>
      </c>
      <c r="E58" s="175" t="s">
        <v>142</v>
      </c>
      <c r="F58" s="175" t="s">
        <v>143</v>
      </c>
      <c r="G58" s="175" t="s">
        <v>144</v>
      </c>
      <c r="H58" s="175" t="s">
        <v>142</v>
      </c>
      <c r="I58" s="37" t="s">
        <v>143</v>
      </c>
    </row>
    <row r="59" spans="1:9" ht="14.25" customHeight="1" x14ac:dyDescent="0.3">
      <c r="A59" s="40">
        <v>50</v>
      </c>
      <c r="B59" s="175" t="s">
        <v>409</v>
      </c>
      <c r="C59" s="175" t="s">
        <v>139</v>
      </c>
      <c r="D59" s="175" t="s">
        <v>154</v>
      </c>
      <c r="E59" s="175" t="s">
        <v>142</v>
      </c>
      <c r="F59" s="175" t="s">
        <v>143</v>
      </c>
      <c r="G59" s="175" t="s">
        <v>144</v>
      </c>
      <c r="H59" s="175" t="s">
        <v>142</v>
      </c>
      <c r="I59" s="37" t="s">
        <v>143</v>
      </c>
    </row>
    <row r="60" spans="1:9" ht="14.25" customHeight="1" x14ac:dyDescent="0.3">
      <c r="A60" s="40">
        <v>51</v>
      </c>
      <c r="B60" s="175" t="s">
        <v>409</v>
      </c>
      <c r="C60" s="175" t="s">
        <v>139</v>
      </c>
      <c r="D60" s="175" t="s">
        <v>398</v>
      </c>
      <c r="E60" s="175" t="s">
        <v>438</v>
      </c>
      <c r="F60" s="175" t="s">
        <v>156</v>
      </c>
      <c r="G60" s="175" t="s">
        <v>157</v>
      </c>
      <c r="H60" s="175" t="s">
        <v>438</v>
      </c>
      <c r="I60" s="37" t="s">
        <v>156</v>
      </c>
    </row>
    <row r="61" spans="1:9" ht="14.25" customHeight="1" x14ac:dyDescent="0.3">
      <c r="A61" s="40">
        <v>52</v>
      </c>
      <c r="B61" s="175" t="s">
        <v>409</v>
      </c>
      <c r="C61" s="175" t="s">
        <v>139</v>
      </c>
      <c r="D61" s="175" t="s">
        <v>402</v>
      </c>
      <c r="E61" s="175" t="s">
        <v>438</v>
      </c>
      <c r="F61" s="175" t="s">
        <v>156</v>
      </c>
      <c r="G61" s="175" t="s">
        <v>157</v>
      </c>
      <c r="H61" s="175" t="s">
        <v>438</v>
      </c>
      <c r="I61" s="37" t="s">
        <v>156</v>
      </c>
    </row>
    <row r="62" spans="1:9" ht="14.25" customHeight="1" x14ac:dyDescent="0.3">
      <c r="A62" s="40">
        <v>53</v>
      </c>
      <c r="B62" s="175" t="s">
        <v>409</v>
      </c>
      <c r="C62" s="175" t="s">
        <v>139</v>
      </c>
      <c r="D62" s="175" t="s">
        <v>343</v>
      </c>
      <c r="E62" s="175" t="s">
        <v>438</v>
      </c>
      <c r="F62" s="175" t="s">
        <v>156</v>
      </c>
      <c r="G62" s="175" t="s">
        <v>157</v>
      </c>
      <c r="H62" s="175" t="s">
        <v>438</v>
      </c>
      <c r="I62" s="37" t="s">
        <v>156</v>
      </c>
    </row>
    <row r="63" spans="1:9" ht="14.25" customHeight="1" x14ac:dyDescent="0.3">
      <c r="A63" s="40">
        <v>54</v>
      </c>
      <c r="B63" s="175" t="s">
        <v>409</v>
      </c>
      <c r="C63" s="175" t="s">
        <v>139</v>
      </c>
      <c r="D63" s="175" t="s">
        <v>160</v>
      </c>
      <c r="E63" s="175" t="s">
        <v>148</v>
      </c>
      <c r="F63" s="175" t="s">
        <v>142</v>
      </c>
      <c r="G63" s="175" t="s">
        <v>143</v>
      </c>
      <c r="H63" s="175" t="s">
        <v>148</v>
      </c>
      <c r="I63" s="37" t="s">
        <v>142</v>
      </c>
    </row>
    <row r="64" spans="1:9" ht="14.25" customHeight="1" x14ac:dyDescent="0.3">
      <c r="A64" s="40">
        <v>55</v>
      </c>
      <c r="B64" s="175" t="s">
        <v>409</v>
      </c>
      <c r="C64" s="175" t="s">
        <v>139</v>
      </c>
      <c r="D64" s="175" t="s">
        <v>407</v>
      </c>
      <c r="E64" s="175" t="s">
        <v>148</v>
      </c>
      <c r="F64" s="175" t="s">
        <v>142</v>
      </c>
      <c r="G64" s="175" t="s">
        <v>143</v>
      </c>
      <c r="H64" s="175" t="s">
        <v>148</v>
      </c>
      <c r="I64" s="37" t="s">
        <v>142</v>
      </c>
    </row>
    <row r="65" spans="1:9" ht="14.25" customHeight="1" x14ac:dyDescent="0.3">
      <c r="A65" s="40">
        <v>56</v>
      </c>
      <c r="B65" s="175" t="s">
        <v>409</v>
      </c>
      <c r="C65" s="175" t="s">
        <v>139</v>
      </c>
      <c r="D65" s="175" t="s">
        <v>408</v>
      </c>
      <c r="E65" s="175" t="s">
        <v>148</v>
      </c>
      <c r="F65" s="175" t="s">
        <v>142</v>
      </c>
      <c r="G65" s="175" t="s">
        <v>143</v>
      </c>
      <c r="H65" s="175" t="s">
        <v>148</v>
      </c>
      <c r="I65" s="37" t="s">
        <v>142</v>
      </c>
    </row>
    <row r="66" spans="1:9" ht="14.25" customHeight="1" x14ac:dyDescent="0.3">
      <c r="A66" s="40">
        <v>57</v>
      </c>
      <c r="B66" s="175" t="s">
        <v>138</v>
      </c>
      <c r="C66" s="175" t="s">
        <v>139</v>
      </c>
      <c r="D66" s="175" t="s">
        <v>394</v>
      </c>
      <c r="E66" s="175" t="s">
        <v>156</v>
      </c>
      <c r="F66" s="175" t="s">
        <v>157</v>
      </c>
      <c r="G66" s="175" t="s">
        <v>158</v>
      </c>
      <c r="H66" s="175" t="s">
        <v>156</v>
      </c>
      <c r="I66" s="37" t="s">
        <v>157</v>
      </c>
    </row>
    <row r="67" spans="1:9" ht="14.25" customHeight="1" x14ac:dyDescent="0.3">
      <c r="A67" s="40">
        <v>58</v>
      </c>
      <c r="B67" s="175" t="s">
        <v>138</v>
      </c>
      <c r="C67" s="175" t="s">
        <v>139</v>
      </c>
      <c r="D67" s="175" t="s">
        <v>154</v>
      </c>
      <c r="E67" s="175" t="s">
        <v>156</v>
      </c>
      <c r="F67" s="175" t="s">
        <v>157</v>
      </c>
      <c r="G67" s="175" t="s">
        <v>158</v>
      </c>
      <c r="H67" s="175" t="s">
        <v>156</v>
      </c>
      <c r="I67" s="37" t="s">
        <v>157</v>
      </c>
    </row>
    <row r="68" spans="1:9" ht="14.25" customHeight="1" x14ac:dyDescent="0.3">
      <c r="A68" s="40">
        <v>59</v>
      </c>
      <c r="B68" s="175" t="s">
        <v>138</v>
      </c>
      <c r="C68" s="175" t="s">
        <v>139</v>
      </c>
      <c r="D68" s="175" t="s">
        <v>398</v>
      </c>
      <c r="E68" s="175" t="s">
        <v>142</v>
      </c>
      <c r="F68" s="175" t="s">
        <v>143</v>
      </c>
      <c r="G68" s="175" t="s">
        <v>144</v>
      </c>
      <c r="H68" s="175" t="s">
        <v>142</v>
      </c>
      <c r="I68" s="37" t="s">
        <v>143</v>
      </c>
    </row>
    <row r="69" spans="1:9" ht="14.25" customHeight="1" x14ac:dyDescent="0.3">
      <c r="A69" s="40">
        <v>60</v>
      </c>
      <c r="B69" s="175" t="s">
        <v>138</v>
      </c>
      <c r="C69" s="175" t="s">
        <v>139</v>
      </c>
      <c r="D69" s="175" t="s">
        <v>402</v>
      </c>
      <c r="E69" s="175" t="s">
        <v>142</v>
      </c>
      <c r="F69" s="175" t="s">
        <v>143</v>
      </c>
      <c r="G69" s="175" t="s">
        <v>144</v>
      </c>
      <c r="H69" s="175" t="s">
        <v>142</v>
      </c>
      <c r="I69" s="37" t="s">
        <v>143</v>
      </c>
    </row>
    <row r="70" spans="1:9" ht="14.25" customHeight="1" x14ac:dyDescent="0.3">
      <c r="A70" s="40">
        <v>61</v>
      </c>
      <c r="B70" s="175" t="s">
        <v>138</v>
      </c>
      <c r="C70" s="175" t="s">
        <v>139</v>
      </c>
      <c r="D70" s="175" t="s">
        <v>343</v>
      </c>
      <c r="E70" s="175" t="s">
        <v>142</v>
      </c>
      <c r="F70" s="175" t="s">
        <v>143</v>
      </c>
      <c r="G70" s="175" t="s">
        <v>144</v>
      </c>
      <c r="H70" s="175" t="s">
        <v>142</v>
      </c>
      <c r="I70" s="37" t="s">
        <v>143</v>
      </c>
    </row>
    <row r="71" spans="1:9" ht="14.25" customHeight="1" x14ac:dyDescent="0.3">
      <c r="A71" s="40">
        <v>62</v>
      </c>
      <c r="B71" s="175" t="s">
        <v>138</v>
      </c>
      <c r="C71" s="175" t="s">
        <v>139</v>
      </c>
      <c r="D71" s="175" t="s">
        <v>160</v>
      </c>
      <c r="E71" s="175" t="s">
        <v>438</v>
      </c>
      <c r="F71" s="175" t="s">
        <v>156</v>
      </c>
      <c r="G71" s="175" t="s">
        <v>157</v>
      </c>
      <c r="H71" s="175" t="s">
        <v>438</v>
      </c>
      <c r="I71" s="37" t="s">
        <v>156</v>
      </c>
    </row>
    <row r="72" spans="1:9" ht="14.25" customHeight="1" x14ac:dyDescent="0.3">
      <c r="A72" s="40">
        <v>63</v>
      </c>
      <c r="B72" s="175" t="s">
        <v>138</v>
      </c>
      <c r="C72" s="175" t="s">
        <v>139</v>
      </c>
      <c r="D72" s="175" t="s">
        <v>407</v>
      </c>
      <c r="E72" s="175" t="s">
        <v>438</v>
      </c>
      <c r="F72" s="175" t="s">
        <v>156</v>
      </c>
      <c r="G72" s="175" t="s">
        <v>157</v>
      </c>
      <c r="H72" s="175" t="s">
        <v>438</v>
      </c>
      <c r="I72" s="37" t="s">
        <v>156</v>
      </c>
    </row>
    <row r="73" spans="1:9" ht="14.25" customHeight="1" x14ac:dyDescent="0.3">
      <c r="A73" s="40">
        <v>64</v>
      </c>
      <c r="B73" s="175" t="s">
        <v>138</v>
      </c>
      <c r="C73" s="175" t="s">
        <v>139</v>
      </c>
      <c r="D73" s="175" t="s">
        <v>408</v>
      </c>
      <c r="E73" s="175" t="s">
        <v>438</v>
      </c>
      <c r="F73" s="175" t="s">
        <v>156</v>
      </c>
      <c r="G73" s="175" t="s">
        <v>157</v>
      </c>
      <c r="H73" s="175" t="s">
        <v>438</v>
      </c>
      <c r="I73" s="37" t="s">
        <v>156</v>
      </c>
    </row>
    <row r="74" spans="1:9" ht="14.25" customHeight="1" x14ac:dyDescent="0.3">
      <c r="A74" s="40">
        <v>65</v>
      </c>
      <c r="B74" s="175" t="s">
        <v>155</v>
      </c>
      <c r="C74" s="175" t="s">
        <v>139</v>
      </c>
      <c r="D74" s="175" t="s">
        <v>394</v>
      </c>
      <c r="E74" s="175" t="s">
        <v>157</v>
      </c>
      <c r="F74" s="175" t="s">
        <v>158</v>
      </c>
      <c r="G74" s="175" t="s">
        <v>450</v>
      </c>
      <c r="H74" s="175" t="s">
        <v>157</v>
      </c>
      <c r="I74" s="37" t="s">
        <v>158</v>
      </c>
    </row>
    <row r="75" spans="1:9" ht="14.25" customHeight="1" x14ac:dyDescent="0.3">
      <c r="A75" s="40">
        <v>66</v>
      </c>
      <c r="B75" s="175" t="s">
        <v>155</v>
      </c>
      <c r="C75" s="175" t="s">
        <v>139</v>
      </c>
      <c r="D75" s="175" t="s">
        <v>154</v>
      </c>
      <c r="E75" s="175" t="s">
        <v>157</v>
      </c>
      <c r="F75" s="175" t="s">
        <v>158</v>
      </c>
      <c r="G75" s="175" t="s">
        <v>450</v>
      </c>
      <c r="H75" s="175" t="s">
        <v>157</v>
      </c>
      <c r="I75" s="37" t="s">
        <v>158</v>
      </c>
    </row>
    <row r="76" spans="1:9" ht="17.25" customHeight="1" x14ac:dyDescent="0.3">
      <c r="A76" s="40">
        <v>67</v>
      </c>
      <c r="B76" s="175" t="s">
        <v>155</v>
      </c>
      <c r="C76" s="175" t="s">
        <v>139</v>
      </c>
      <c r="D76" s="175" t="s">
        <v>398</v>
      </c>
      <c r="E76" s="175" t="s">
        <v>156</v>
      </c>
      <c r="F76" s="175" t="s">
        <v>157</v>
      </c>
      <c r="G76" s="175" t="s">
        <v>158</v>
      </c>
      <c r="H76" s="175" t="s">
        <v>156</v>
      </c>
      <c r="I76" s="37" t="s">
        <v>157</v>
      </c>
    </row>
    <row r="77" spans="1:9" ht="14.25" customHeight="1" x14ac:dyDescent="0.3">
      <c r="A77" s="40">
        <v>68</v>
      </c>
      <c r="B77" s="175" t="s">
        <v>155</v>
      </c>
      <c r="C77" s="175" t="s">
        <v>139</v>
      </c>
      <c r="D77" s="175" t="s">
        <v>402</v>
      </c>
      <c r="E77" s="175" t="s">
        <v>156</v>
      </c>
      <c r="F77" s="175" t="s">
        <v>157</v>
      </c>
      <c r="G77" s="175" t="s">
        <v>158</v>
      </c>
      <c r="H77" s="175" t="s">
        <v>156</v>
      </c>
      <c r="I77" s="37" t="s">
        <v>157</v>
      </c>
    </row>
    <row r="78" spans="1:9" ht="14.25" customHeight="1" x14ac:dyDescent="0.3">
      <c r="A78" s="40">
        <v>69</v>
      </c>
      <c r="B78" s="175" t="s">
        <v>155</v>
      </c>
      <c r="C78" s="175" t="s">
        <v>139</v>
      </c>
      <c r="D78" s="175" t="s">
        <v>343</v>
      </c>
      <c r="E78" s="175" t="s">
        <v>156</v>
      </c>
      <c r="F78" s="175" t="s">
        <v>157</v>
      </c>
      <c r="G78" s="175" t="s">
        <v>158</v>
      </c>
      <c r="H78" s="175" t="s">
        <v>156</v>
      </c>
      <c r="I78" s="37" t="s">
        <v>157</v>
      </c>
    </row>
    <row r="79" spans="1:9" ht="14.25" customHeight="1" x14ac:dyDescent="0.3">
      <c r="A79" s="40">
        <v>70</v>
      </c>
      <c r="B79" s="175" t="s">
        <v>155</v>
      </c>
      <c r="C79" s="175" t="s">
        <v>139</v>
      </c>
      <c r="D79" s="175" t="s">
        <v>160</v>
      </c>
      <c r="E79" s="175" t="s">
        <v>142</v>
      </c>
      <c r="F79" s="175" t="s">
        <v>143</v>
      </c>
      <c r="G79" s="175" t="s">
        <v>144</v>
      </c>
      <c r="H79" s="175" t="s">
        <v>142</v>
      </c>
      <c r="I79" s="37" t="s">
        <v>143</v>
      </c>
    </row>
    <row r="80" spans="1:9" ht="14.25" customHeight="1" x14ac:dyDescent="0.3">
      <c r="A80" s="40">
        <v>71</v>
      </c>
      <c r="B80" s="175" t="s">
        <v>155</v>
      </c>
      <c r="C80" s="175" t="s">
        <v>139</v>
      </c>
      <c r="D80" s="175" t="s">
        <v>407</v>
      </c>
      <c r="E80" s="175" t="s">
        <v>142</v>
      </c>
      <c r="F80" s="175" t="s">
        <v>143</v>
      </c>
      <c r="G80" s="175" t="s">
        <v>144</v>
      </c>
      <c r="H80" s="175" t="s">
        <v>142</v>
      </c>
      <c r="I80" s="37" t="s">
        <v>143</v>
      </c>
    </row>
    <row r="81" spans="1:9" ht="14.25" customHeight="1" x14ac:dyDescent="0.3">
      <c r="A81" s="40">
        <v>72</v>
      </c>
      <c r="B81" s="175" t="s">
        <v>155</v>
      </c>
      <c r="C81" s="175" t="s">
        <v>139</v>
      </c>
      <c r="D81" s="175" t="s">
        <v>408</v>
      </c>
      <c r="E81" s="175" t="s">
        <v>142</v>
      </c>
      <c r="F81" s="175" t="s">
        <v>143</v>
      </c>
      <c r="G81" s="175" t="s">
        <v>144</v>
      </c>
      <c r="H81" s="175" t="s">
        <v>142</v>
      </c>
      <c r="I81" s="37" t="s">
        <v>143</v>
      </c>
    </row>
    <row r="82" spans="1:9" ht="14.25" customHeight="1" x14ac:dyDescent="0.3">
      <c r="A82" s="40">
        <v>73</v>
      </c>
      <c r="B82" s="175" t="s">
        <v>421</v>
      </c>
      <c r="C82" s="175" t="s">
        <v>139</v>
      </c>
      <c r="D82" s="175" t="s">
        <v>394</v>
      </c>
      <c r="E82" s="175" t="s">
        <v>269</v>
      </c>
      <c r="F82" s="175" t="s">
        <v>269</v>
      </c>
      <c r="G82" s="175" t="s">
        <v>269</v>
      </c>
      <c r="H82" s="175" t="s">
        <v>269</v>
      </c>
      <c r="I82" s="37" t="s">
        <v>269</v>
      </c>
    </row>
    <row r="83" spans="1:9" ht="14.25" customHeight="1" x14ac:dyDescent="0.3">
      <c r="A83" s="40">
        <v>74</v>
      </c>
      <c r="B83" s="175" t="s">
        <v>421</v>
      </c>
      <c r="C83" s="175" t="s">
        <v>139</v>
      </c>
      <c r="D83" s="175" t="s">
        <v>154</v>
      </c>
      <c r="E83" s="175" t="s">
        <v>269</v>
      </c>
      <c r="F83" s="175" t="s">
        <v>269</v>
      </c>
      <c r="G83" s="175" t="s">
        <v>269</v>
      </c>
      <c r="H83" s="175" t="s">
        <v>269</v>
      </c>
      <c r="I83" s="37" t="s">
        <v>269</v>
      </c>
    </row>
    <row r="84" spans="1:9" ht="14.25" customHeight="1" x14ac:dyDescent="0.3">
      <c r="A84" s="40">
        <v>75</v>
      </c>
      <c r="B84" s="175" t="s">
        <v>421</v>
      </c>
      <c r="C84" s="175" t="s">
        <v>139</v>
      </c>
      <c r="D84" s="175" t="s">
        <v>398</v>
      </c>
      <c r="E84" s="175" t="s">
        <v>269</v>
      </c>
      <c r="F84" s="175" t="s">
        <v>269</v>
      </c>
      <c r="G84" s="175" t="s">
        <v>269</v>
      </c>
      <c r="H84" s="175" t="s">
        <v>269</v>
      </c>
      <c r="I84" s="37" t="s">
        <v>269</v>
      </c>
    </row>
    <row r="85" spans="1:9" ht="49.5" customHeight="1" x14ac:dyDescent="0.3">
      <c r="A85" s="40">
        <v>76</v>
      </c>
      <c r="B85" s="175" t="s">
        <v>421</v>
      </c>
      <c r="C85" s="175" t="s">
        <v>139</v>
      </c>
      <c r="D85" s="175" t="s">
        <v>402</v>
      </c>
      <c r="E85" s="175" t="s">
        <v>269</v>
      </c>
      <c r="F85" s="175" t="s">
        <v>269</v>
      </c>
      <c r="G85" s="175" t="s">
        <v>269</v>
      </c>
      <c r="H85" s="175" t="s">
        <v>269</v>
      </c>
      <c r="I85" s="37" t="s">
        <v>269</v>
      </c>
    </row>
    <row r="86" spans="1:9" ht="14.25" customHeight="1" x14ac:dyDescent="0.3">
      <c r="A86" s="40">
        <v>77</v>
      </c>
      <c r="B86" s="175" t="s">
        <v>421</v>
      </c>
      <c r="C86" s="175" t="s">
        <v>139</v>
      </c>
      <c r="D86" s="175" t="s">
        <v>343</v>
      </c>
      <c r="E86" s="175" t="s">
        <v>269</v>
      </c>
      <c r="F86" s="175" t="s">
        <v>269</v>
      </c>
      <c r="G86" s="175" t="s">
        <v>269</v>
      </c>
      <c r="H86" s="175" t="s">
        <v>269</v>
      </c>
      <c r="I86" s="37" t="s">
        <v>269</v>
      </c>
    </row>
    <row r="87" spans="1:9" ht="14.25" customHeight="1" x14ac:dyDescent="0.3">
      <c r="A87" s="40">
        <v>78</v>
      </c>
      <c r="B87" s="175" t="s">
        <v>421</v>
      </c>
      <c r="C87" s="175" t="s">
        <v>139</v>
      </c>
      <c r="D87" s="175" t="s">
        <v>160</v>
      </c>
      <c r="E87" s="175" t="s">
        <v>269</v>
      </c>
      <c r="F87" s="175" t="s">
        <v>269</v>
      </c>
      <c r="G87" s="175" t="s">
        <v>269</v>
      </c>
      <c r="H87" s="175" t="s">
        <v>269</v>
      </c>
      <c r="I87" s="37" t="s">
        <v>269</v>
      </c>
    </row>
    <row r="88" spans="1:9" ht="14.25" customHeight="1" x14ac:dyDescent="0.3">
      <c r="A88" s="40">
        <v>79</v>
      </c>
      <c r="B88" s="175" t="s">
        <v>421</v>
      </c>
      <c r="C88" s="175" t="s">
        <v>139</v>
      </c>
      <c r="D88" s="175" t="s">
        <v>407</v>
      </c>
      <c r="E88" s="175" t="s">
        <v>269</v>
      </c>
      <c r="F88" s="175" t="s">
        <v>269</v>
      </c>
      <c r="G88" s="175" t="s">
        <v>269</v>
      </c>
      <c r="H88" s="175" t="s">
        <v>269</v>
      </c>
      <c r="I88" s="37" t="s">
        <v>269</v>
      </c>
    </row>
    <row r="89" spans="1:9" ht="14.25" customHeight="1" x14ac:dyDescent="0.3">
      <c r="A89" s="204">
        <v>80</v>
      </c>
      <c r="B89" s="186" t="s">
        <v>421</v>
      </c>
      <c r="C89" s="186" t="s">
        <v>139</v>
      </c>
      <c r="D89" s="186" t="s">
        <v>408</v>
      </c>
      <c r="E89" s="186" t="s">
        <v>269</v>
      </c>
      <c r="F89" s="186" t="s">
        <v>269</v>
      </c>
      <c r="G89" s="186" t="s">
        <v>269</v>
      </c>
      <c r="H89" s="186" t="s">
        <v>269</v>
      </c>
      <c r="I89" s="43" t="s">
        <v>269</v>
      </c>
    </row>
    <row r="90" spans="1:9" ht="14.25" customHeight="1" x14ac:dyDescent="0.3"/>
    <row r="91" spans="1:9" ht="14.25" customHeight="1" x14ac:dyDescent="0.3"/>
    <row r="92" spans="1:9" ht="14.25" customHeight="1" x14ac:dyDescent="0.3">
      <c r="G92" s="152" t="s">
        <v>451</v>
      </c>
    </row>
    <row r="93" spans="1:9" ht="14.25" customHeight="1" x14ac:dyDescent="0.3">
      <c r="A93" s="120" t="s">
        <v>452</v>
      </c>
      <c r="G93" s="158" t="s">
        <v>453</v>
      </c>
    </row>
    <row r="94" spans="1:9" ht="14.25" customHeight="1" x14ac:dyDescent="0.3">
      <c r="A94" s="200" t="s">
        <v>385</v>
      </c>
      <c r="B94" s="201" t="s">
        <v>386</v>
      </c>
      <c r="C94" s="201" t="s">
        <v>388</v>
      </c>
      <c r="D94" s="201" t="s">
        <v>387</v>
      </c>
      <c r="E94" s="202" t="s">
        <v>445</v>
      </c>
    </row>
    <row r="95" spans="1:9" ht="14.25" customHeight="1" x14ac:dyDescent="0.3">
      <c r="A95" s="40">
        <v>1</v>
      </c>
      <c r="B95" s="175" t="s">
        <v>409</v>
      </c>
      <c r="C95" s="175" t="s">
        <v>139</v>
      </c>
      <c r="D95" s="175" t="s">
        <v>394</v>
      </c>
      <c r="E95" s="37" t="s">
        <v>156</v>
      </c>
    </row>
    <row r="96" spans="1:9" ht="14.25" customHeight="1" x14ac:dyDescent="0.3">
      <c r="A96" s="40">
        <v>2</v>
      </c>
      <c r="B96" s="175" t="s">
        <v>409</v>
      </c>
      <c r="C96" s="175" t="s">
        <v>139</v>
      </c>
      <c r="D96" s="175" t="s">
        <v>154</v>
      </c>
      <c r="E96" s="37" t="s">
        <v>156</v>
      </c>
    </row>
    <row r="97" spans="1:5" ht="14.25" customHeight="1" x14ac:dyDescent="0.3">
      <c r="A97" s="40">
        <v>3</v>
      </c>
      <c r="B97" s="175" t="s">
        <v>409</v>
      </c>
      <c r="C97" s="175" t="s">
        <v>139</v>
      </c>
      <c r="D97" s="175" t="s">
        <v>398</v>
      </c>
      <c r="E97" s="37" t="s">
        <v>142</v>
      </c>
    </row>
    <row r="98" spans="1:5" ht="14.25" customHeight="1" x14ac:dyDescent="0.3">
      <c r="A98" s="40">
        <v>4</v>
      </c>
      <c r="B98" s="175" t="s">
        <v>409</v>
      </c>
      <c r="C98" s="175" t="s">
        <v>139</v>
      </c>
      <c r="D98" s="175" t="s">
        <v>402</v>
      </c>
      <c r="E98" s="37" t="s">
        <v>142</v>
      </c>
    </row>
    <row r="99" spans="1:5" ht="14.25" customHeight="1" x14ac:dyDescent="0.3">
      <c r="A99" s="40">
        <v>5</v>
      </c>
      <c r="B99" s="175" t="s">
        <v>409</v>
      </c>
      <c r="C99" s="175" t="s">
        <v>139</v>
      </c>
      <c r="D99" s="175" t="s">
        <v>343</v>
      </c>
      <c r="E99" s="37" t="s">
        <v>142</v>
      </c>
    </row>
    <row r="100" spans="1:5" ht="14.25" customHeight="1" x14ac:dyDescent="0.3">
      <c r="A100" s="40">
        <v>6</v>
      </c>
      <c r="B100" s="175" t="s">
        <v>409</v>
      </c>
      <c r="C100" s="175" t="s">
        <v>139</v>
      </c>
      <c r="D100" s="175" t="s">
        <v>160</v>
      </c>
      <c r="E100" s="37" t="s">
        <v>438</v>
      </c>
    </row>
    <row r="101" spans="1:5" ht="14.25" customHeight="1" x14ac:dyDescent="0.3">
      <c r="A101" s="40">
        <v>7</v>
      </c>
      <c r="B101" s="175" t="s">
        <v>409</v>
      </c>
      <c r="C101" s="175" t="s">
        <v>139</v>
      </c>
      <c r="D101" s="175" t="s">
        <v>407</v>
      </c>
      <c r="E101" s="37" t="s">
        <v>438</v>
      </c>
    </row>
    <row r="102" spans="1:5" ht="14.25" customHeight="1" x14ac:dyDescent="0.3">
      <c r="A102" s="40">
        <v>8</v>
      </c>
      <c r="B102" s="175" t="s">
        <v>409</v>
      </c>
      <c r="C102" s="175" t="s">
        <v>139</v>
      </c>
      <c r="D102" s="175" t="s">
        <v>408</v>
      </c>
      <c r="E102" s="37" t="s">
        <v>438</v>
      </c>
    </row>
    <row r="103" spans="1:5" ht="14.25" customHeight="1" x14ac:dyDescent="0.3">
      <c r="A103" s="40">
        <v>9</v>
      </c>
      <c r="B103" s="175" t="s">
        <v>138</v>
      </c>
      <c r="C103" s="175" t="s">
        <v>139</v>
      </c>
      <c r="D103" s="175" t="s">
        <v>394</v>
      </c>
      <c r="E103" s="37" t="s">
        <v>157</v>
      </c>
    </row>
    <row r="104" spans="1:5" ht="14.25" customHeight="1" x14ac:dyDescent="0.3">
      <c r="A104" s="40">
        <v>10</v>
      </c>
      <c r="B104" s="175" t="s">
        <v>138</v>
      </c>
      <c r="C104" s="175" t="s">
        <v>139</v>
      </c>
      <c r="D104" s="175" t="s">
        <v>154</v>
      </c>
      <c r="E104" s="37" t="s">
        <v>157</v>
      </c>
    </row>
    <row r="105" spans="1:5" ht="14.25" customHeight="1" x14ac:dyDescent="0.3">
      <c r="A105" s="40">
        <v>11</v>
      </c>
      <c r="B105" s="175" t="s">
        <v>138</v>
      </c>
      <c r="C105" s="175" t="s">
        <v>139</v>
      </c>
      <c r="D105" s="175" t="s">
        <v>398</v>
      </c>
      <c r="E105" s="37" t="s">
        <v>157</v>
      </c>
    </row>
    <row r="106" spans="1:5" ht="14.25" customHeight="1" x14ac:dyDescent="0.3">
      <c r="A106" s="40">
        <v>12</v>
      </c>
      <c r="B106" s="175" t="s">
        <v>138</v>
      </c>
      <c r="C106" s="175" t="s">
        <v>139</v>
      </c>
      <c r="D106" s="175" t="s">
        <v>402</v>
      </c>
      <c r="E106" s="37" t="s">
        <v>157</v>
      </c>
    </row>
    <row r="107" spans="1:5" ht="14.25" customHeight="1" x14ac:dyDescent="0.3">
      <c r="A107" s="40">
        <v>13</v>
      </c>
      <c r="B107" s="175" t="s">
        <v>138</v>
      </c>
      <c r="C107" s="175" t="s">
        <v>139</v>
      </c>
      <c r="D107" s="175" t="s">
        <v>343</v>
      </c>
      <c r="E107" s="37" t="s">
        <v>157</v>
      </c>
    </row>
    <row r="108" spans="1:5" ht="14.25" customHeight="1" x14ac:dyDescent="0.3">
      <c r="A108" s="40">
        <v>14</v>
      </c>
      <c r="B108" s="175" t="s">
        <v>138</v>
      </c>
      <c r="C108" s="175" t="s">
        <v>139</v>
      </c>
      <c r="D108" s="175" t="s">
        <v>160</v>
      </c>
      <c r="E108" s="37" t="s">
        <v>157</v>
      </c>
    </row>
    <row r="109" spans="1:5" ht="14.25" customHeight="1" x14ac:dyDescent="0.3">
      <c r="A109" s="40">
        <v>15</v>
      </c>
      <c r="B109" s="175" t="s">
        <v>138</v>
      </c>
      <c r="C109" s="175" t="s">
        <v>139</v>
      </c>
      <c r="D109" s="175" t="s">
        <v>407</v>
      </c>
      <c r="E109" s="37" t="s">
        <v>157</v>
      </c>
    </row>
    <row r="110" spans="1:5" ht="14.25" customHeight="1" x14ac:dyDescent="0.3">
      <c r="A110" s="40">
        <v>16</v>
      </c>
      <c r="B110" s="175" t="s">
        <v>138</v>
      </c>
      <c r="C110" s="175" t="s">
        <v>139</v>
      </c>
      <c r="D110" s="175" t="s">
        <v>408</v>
      </c>
      <c r="E110" s="37" t="s">
        <v>157</v>
      </c>
    </row>
    <row r="111" spans="1:5" ht="12" customHeight="1" x14ac:dyDescent="0.3">
      <c r="A111" s="40">
        <v>17</v>
      </c>
      <c r="B111" s="175" t="s">
        <v>155</v>
      </c>
      <c r="C111" s="175" t="s">
        <v>139</v>
      </c>
      <c r="D111" s="175" t="s">
        <v>394</v>
      </c>
      <c r="E111" s="37" t="s">
        <v>157</v>
      </c>
    </row>
    <row r="112" spans="1:5" ht="14.25" customHeight="1" x14ac:dyDescent="0.3">
      <c r="A112" s="40">
        <v>18</v>
      </c>
      <c r="B112" s="175" t="s">
        <v>155</v>
      </c>
      <c r="C112" s="175" t="s">
        <v>139</v>
      </c>
      <c r="D112" s="175" t="s">
        <v>154</v>
      </c>
      <c r="E112" s="37" t="s">
        <v>157</v>
      </c>
    </row>
    <row r="113" spans="1:5" ht="14.25" customHeight="1" x14ac:dyDescent="0.3">
      <c r="A113" s="40">
        <v>19</v>
      </c>
      <c r="B113" s="175" t="s">
        <v>155</v>
      </c>
      <c r="C113" s="175" t="s">
        <v>139</v>
      </c>
      <c r="D113" s="175" t="s">
        <v>398</v>
      </c>
      <c r="E113" s="37" t="s">
        <v>157</v>
      </c>
    </row>
    <row r="114" spans="1:5" ht="14.25" customHeight="1" x14ac:dyDescent="0.3">
      <c r="A114" s="40">
        <v>20</v>
      </c>
      <c r="B114" s="175" t="s">
        <v>155</v>
      </c>
      <c r="C114" s="175" t="s">
        <v>139</v>
      </c>
      <c r="D114" s="175" t="s">
        <v>402</v>
      </c>
      <c r="E114" s="37" t="s">
        <v>157</v>
      </c>
    </row>
    <row r="115" spans="1:5" ht="14.25" customHeight="1" x14ac:dyDescent="0.3">
      <c r="A115" s="40">
        <v>21</v>
      </c>
      <c r="B115" s="175" t="s">
        <v>155</v>
      </c>
      <c r="C115" s="175" t="s">
        <v>139</v>
      </c>
      <c r="D115" s="175" t="s">
        <v>343</v>
      </c>
      <c r="E115" s="37" t="s">
        <v>157</v>
      </c>
    </row>
    <row r="116" spans="1:5" ht="14.25" customHeight="1" x14ac:dyDescent="0.3">
      <c r="A116" s="40">
        <v>22</v>
      </c>
      <c r="B116" s="175" t="s">
        <v>155</v>
      </c>
      <c r="C116" s="175" t="s">
        <v>139</v>
      </c>
      <c r="D116" s="175" t="s">
        <v>160</v>
      </c>
      <c r="E116" s="37" t="s">
        <v>157</v>
      </c>
    </row>
    <row r="117" spans="1:5" ht="14.25" customHeight="1" x14ac:dyDescent="0.3">
      <c r="A117" s="40">
        <v>23</v>
      </c>
      <c r="B117" s="175" t="s">
        <v>155</v>
      </c>
      <c r="C117" s="175" t="s">
        <v>139</v>
      </c>
      <c r="D117" s="175" t="s">
        <v>407</v>
      </c>
      <c r="E117" s="37" t="s">
        <v>157</v>
      </c>
    </row>
    <row r="118" spans="1:5" ht="14.25" customHeight="1" x14ac:dyDescent="0.3">
      <c r="A118" s="182">
        <v>24</v>
      </c>
      <c r="B118" s="183" t="s">
        <v>155</v>
      </c>
      <c r="C118" s="175" t="s">
        <v>139</v>
      </c>
      <c r="D118" s="183" t="s">
        <v>408</v>
      </c>
      <c r="E118" s="203" t="s">
        <v>157</v>
      </c>
    </row>
    <row r="119" spans="1:5" ht="14.25" customHeight="1" x14ac:dyDescent="0.3">
      <c r="A119" s="184">
        <v>25</v>
      </c>
      <c r="B119" s="185" t="s">
        <v>421</v>
      </c>
      <c r="C119" s="175" t="s">
        <v>139</v>
      </c>
      <c r="D119" s="185" t="s">
        <v>269</v>
      </c>
      <c r="E119" s="33" t="s">
        <v>269</v>
      </c>
    </row>
    <row r="120" spans="1:5" ht="14.25" customHeight="1" x14ac:dyDescent="0.3">
      <c r="A120" s="182">
        <v>26</v>
      </c>
      <c r="B120" s="175" t="s">
        <v>421</v>
      </c>
      <c r="C120" s="175" t="s">
        <v>139</v>
      </c>
      <c r="D120" s="175" t="s">
        <v>269</v>
      </c>
      <c r="E120" s="37" t="s">
        <v>269</v>
      </c>
    </row>
    <row r="121" spans="1:5" ht="14.25" customHeight="1" x14ac:dyDescent="0.3">
      <c r="A121" s="40">
        <v>27</v>
      </c>
      <c r="B121" s="175" t="s">
        <v>421</v>
      </c>
      <c r="C121" s="175" t="s">
        <v>139</v>
      </c>
      <c r="D121" s="175" t="s">
        <v>269</v>
      </c>
      <c r="E121" s="37" t="s">
        <v>269</v>
      </c>
    </row>
    <row r="122" spans="1:5" ht="348" customHeight="1" x14ac:dyDescent="0.3">
      <c r="A122" s="182">
        <v>28</v>
      </c>
      <c r="B122" s="175" t="s">
        <v>421</v>
      </c>
      <c r="C122" s="175" t="s">
        <v>139</v>
      </c>
      <c r="D122" s="175" t="s">
        <v>269</v>
      </c>
      <c r="E122" s="37" t="s">
        <v>269</v>
      </c>
    </row>
    <row r="123" spans="1:5" ht="14.25" customHeight="1" x14ac:dyDescent="0.3">
      <c r="A123" s="40">
        <v>29</v>
      </c>
      <c r="B123" s="175" t="s">
        <v>421</v>
      </c>
      <c r="C123" s="175" t="s">
        <v>139</v>
      </c>
      <c r="D123" s="175" t="s">
        <v>269</v>
      </c>
      <c r="E123" s="37" t="s">
        <v>269</v>
      </c>
    </row>
    <row r="124" spans="1:5" ht="21.75" customHeight="1" x14ac:dyDescent="0.3">
      <c r="A124" s="182">
        <v>30</v>
      </c>
      <c r="B124" s="175" t="s">
        <v>421</v>
      </c>
      <c r="C124" s="175" t="s">
        <v>139</v>
      </c>
      <c r="D124" s="175" t="s">
        <v>269</v>
      </c>
      <c r="E124" s="37" t="s">
        <v>269</v>
      </c>
    </row>
    <row r="125" spans="1:5" ht="27" customHeight="1" x14ac:dyDescent="0.3">
      <c r="A125" s="40">
        <v>31</v>
      </c>
      <c r="B125" s="175" t="s">
        <v>421</v>
      </c>
      <c r="C125" s="175" t="s">
        <v>139</v>
      </c>
      <c r="D125" s="175" t="s">
        <v>269</v>
      </c>
      <c r="E125" s="37" t="s">
        <v>269</v>
      </c>
    </row>
    <row r="126" spans="1:5" ht="14.25" customHeight="1" x14ac:dyDescent="0.3">
      <c r="A126" s="204">
        <v>32</v>
      </c>
      <c r="B126" s="186" t="s">
        <v>421</v>
      </c>
      <c r="C126" s="175" t="s">
        <v>139</v>
      </c>
      <c r="D126" s="186" t="s">
        <v>269</v>
      </c>
      <c r="E126" s="43" t="s">
        <v>269</v>
      </c>
    </row>
    <row r="127" spans="1:5" ht="69" customHeight="1" x14ac:dyDescent="0.3"/>
    <row r="128" spans="1:5" ht="14.25" customHeight="1" x14ac:dyDescent="0.3"/>
    <row r="129" spans="7:7" ht="14.25" customHeight="1" x14ac:dyDescent="0.3">
      <c r="G129" s="152" t="s">
        <v>454</v>
      </c>
    </row>
    <row r="130" spans="7:7" ht="14.25" customHeight="1" x14ac:dyDescent="0.3">
      <c r="G130" s="205" t="s">
        <v>455</v>
      </c>
    </row>
    <row r="131" spans="7:7" ht="14.25" customHeight="1" x14ac:dyDescent="0.3">
      <c r="G131" s="206" t="s">
        <v>456</v>
      </c>
    </row>
    <row r="132" spans="7:7" ht="14.25" customHeight="1" x14ac:dyDescent="0.3">
      <c r="G132" s="120"/>
    </row>
    <row r="133" spans="7:7" ht="14.25" customHeight="1" x14ac:dyDescent="0.3">
      <c r="G133" s="152" t="s">
        <v>457</v>
      </c>
    </row>
    <row r="134" spans="7:7" ht="14.25" customHeight="1" x14ac:dyDescent="0.3">
      <c r="G134" s="207" t="s">
        <v>458</v>
      </c>
    </row>
    <row r="135" spans="7:7" ht="14.25" customHeight="1" x14ac:dyDescent="0.3">
      <c r="G135" s="207" t="s">
        <v>459</v>
      </c>
    </row>
    <row r="136" spans="7:7" ht="14.25" customHeight="1" x14ac:dyDescent="0.3">
      <c r="G136" s="158" t="s">
        <v>460</v>
      </c>
    </row>
    <row r="137" spans="7:7" ht="14.25" customHeight="1" x14ac:dyDescent="0.3"/>
    <row r="138" spans="7:7" ht="14.25" customHeight="1" x14ac:dyDescent="0.3"/>
    <row r="139" spans="7:7" ht="14.25" customHeight="1" x14ac:dyDescent="0.3"/>
    <row r="140" spans="7:7" ht="14.25" customHeight="1" x14ac:dyDescent="0.3"/>
    <row r="141" spans="7:7" ht="14.25" customHeight="1" x14ac:dyDescent="0.3"/>
    <row r="142" spans="7:7" ht="14.25" customHeight="1" x14ac:dyDescent="0.3"/>
    <row r="143" spans="7:7" ht="14.25" customHeight="1" x14ac:dyDescent="0.3"/>
    <row r="144" spans="7:7"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4.25" customHeight="1" x14ac:dyDescent="0.3"/>
    <row r="284" ht="14.25" customHeight="1" x14ac:dyDescent="0.3"/>
    <row r="285" ht="14.25" customHeight="1" x14ac:dyDescent="0.3"/>
    <row r="286" ht="14.25" customHeight="1" x14ac:dyDescent="0.3"/>
    <row r="287" ht="14.25" customHeight="1" x14ac:dyDescent="0.3"/>
    <row r="288" ht="14.25" customHeight="1" x14ac:dyDescent="0.3"/>
    <row r="289" ht="14.25" customHeight="1" x14ac:dyDescent="0.3"/>
    <row r="290" ht="14.25" customHeight="1" x14ac:dyDescent="0.3"/>
    <row r="291" ht="14.25" customHeight="1" x14ac:dyDescent="0.3"/>
    <row r="292" ht="14.25" customHeight="1" x14ac:dyDescent="0.3"/>
    <row r="293" ht="14.25" customHeight="1" x14ac:dyDescent="0.3"/>
    <row r="294" ht="14.25" customHeight="1" x14ac:dyDescent="0.3"/>
    <row r="295" ht="14.25" customHeight="1" x14ac:dyDescent="0.3"/>
    <row r="296" ht="14.25" customHeight="1" x14ac:dyDescent="0.3"/>
    <row r="297" ht="14.25" customHeight="1" x14ac:dyDescent="0.3"/>
    <row r="298" ht="14.25" customHeight="1" x14ac:dyDescent="0.3"/>
    <row r="299" ht="14.25" customHeight="1" x14ac:dyDescent="0.3"/>
    <row r="300" ht="14.25" customHeight="1" x14ac:dyDescent="0.3"/>
    <row r="301" ht="14.25" customHeight="1" x14ac:dyDescent="0.3"/>
    <row r="302" ht="14.25" customHeight="1" x14ac:dyDescent="0.3"/>
    <row r="303" ht="14.25" customHeight="1" x14ac:dyDescent="0.3"/>
    <row r="304" ht="14.25" customHeight="1" x14ac:dyDescent="0.3"/>
    <row r="305" ht="14.25" customHeight="1" x14ac:dyDescent="0.3"/>
    <row r="306" ht="14.25" customHeight="1" x14ac:dyDescent="0.3"/>
    <row r="307" ht="14.25" customHeight="1" x14ac:dyDescent="0.3"/>
    <row r="308" ht="14.25" customHeight="1" x14ac:dyDescent="0.3"/>
    <row r="309" ht="14.25" customHeight="1" x14ac:dyDescent="0.3"/>
    <row r="310" ht="14.25" customHeight="1" x14ac:dyDescent="0.3"/>
    <row r="311" ht="14.25" customHeight="1" x14ac:dyDescent="0.3"/>
    <row r="312" ht="14.25" customHeight="1" x14ac:dyDescent="0.3"/>
    <row r="313" ht="14.25" customHeight="1" x14ac:dyDescent="0.3"/>
    <row r="314" ht="14.25" customHeight="1" x14ac:dyDescent="0.3"/>
    <row r="315" ht="14.25" customHeight="1" x14ac:dyDescent="0.3"/>
    <row r="316" ht="14.25" customHeight="1" x14ac:dyDescent="0.3"/>
    <row r="317" ht="14.25" customHeight="1" x14ac:dyDescent="0.3"/>
    <row r="318" ht="14.25" customHeight="1" x14ac:dyDescent="0.3"/>
    <row r="319" ht="14.25" customHeight="1" x14ac:dyDescent="0.3"/>
    <row r="320" ht="14.25" customHeight="1" x14ac:dyDescent="0.3"/>
    <row r="321" ht="14.25" customHeight="1" x14ac:dyDescent="0.3"/>
    <row r="322" ht="14.25" customHeight="1" x14ac:dyDescent="0.3"/>
    <row r="323" ht="14.25" customHeight="1" x14ac:dyDescent="0.3"/>
    <row r="324" ht="14.25" customHeight="1" x14ac:dyDescent="0.3"/>
    <row r="325" ht="14.25" customHeight="1" x14ac:dyDescent="0.3"/>
    <row r="326" ht="14.25" customHeight="1" x14ac:dyDescent="0.3"/>
    <row r="327" ht="14.25" customHeight="1" x14ac:dyDescent="0.3"/>
    <row r="328" ht="14.25" customHeight="1" x14ac:dyDescent="0.3"/>
    <row r="329" ht="14.25" customHeight="1" x14ac:dyDescent="0.3"/>
    <row r="330" ht="14.25" customHeight="1" x14ac:dyDescent="0.3"/>
    <row r="331" ht="14.25" customHeight="1" x14ac:dyDescent="0.3"/>
    <row r="332" ht="14.25" customHeight="1" x14ac:dyDescent="0.3"/>
    <row r="333" ht="14.25" customHeight="1" x14ac:dyDescent="0.3"/>
    <row r="334" ht="14.25" customHeight="1" x14ac:dyDescent="0.3"/>
    <row r="335" ht="14.25" customHeight="1" x14ac:dyDescent="0.3"/>
    <row r="336" ht="14.2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Hoja15"/>
  <dimension ref="A1:C1000"/>
  <sheetViews>
    <sheetView workbookViewId="0"/>
  </sheetViews>
  <sheetFormatPr baseColWidth="10" defaultColWidth="14.44140625" defaultRowHeight="15" customHeight="1" x14ac:dyDescent="0.3"/>
  <cols>
    <col min="1" max="1" width="120.6640625" customWidth="1"/>
    <col min="2" max="2" width="24.109375" customWidth="1"/>
    <col min="3" max="3" width="17.44140625" customWidth="1"/>
    <col min="4" max="6" width="10.6640625" customWidth="1"/>
  </cols>
  <sheetData>
    <row r="1" spans="1:3" ht="14.25" customHeight="1" x14ac:dyDescent="0.3">
      <c r="A1" s="25" t="s">
        <v>461</v>
      </c>
    </row>
    <row r="2" spans="1:3" ht="14.25" customHeight="1" x14ac:dyDescent="0.3">
      <c r="A2" s="152"/>
      <c r="B2" s="152" t="s">
        <v>462</v>
      </c>
      <c r="C2" s="152"/>
    </row>
    <row r="3" spans="1:3" ht="14.25" customHeight="1" x14ac:dyDescent="0.3">
      <c r="A3" s="152" t="s">
        <v>42</v>
      </c>
      <c r="B3" s="152" t="s">
        <v>463</v>
      </c>
      <c r="C3" s="152" t="s">
        <v>464</v>
      </c>
    </row>
    <row r="4" spans="1:3" ht="21" customHeight="1" x14ac:dyDescent="0.3">
      <c r="A4" s="208" t="s">
        <v>465</v>
      </c>
      <c r="B4" s="158" t="s">
        <v>146</v>
      </c>
      <c r="C4" s="158" t="s">
        <v>466</v>
      </c>
    </row>
    <row r="5" spans="1:3" ht="14.25" customHeight="1" x14ac:dyDescent="0.3">
      <c r="A5" s="158" t="s">
        <v>467</v>
      </c>
      <c r="B5" s="158" t="s">
        <v>468</v>
      </c>
      <c r="C5" s="158" t="s">
        <v>469</v>
      </c>
    </row>
    <row r="6" spans="1:3" ht="14.25" customHeight="1" x14ac:dyDescent="0.3">
      <c r="A6" s="158" t="s">
        <v>470</v>
      </c>
      <c r="B6" s="158" t="s">
        <v>468</v>
      </c>
      <c r="C6" s="158" t="s">
        <v>471</v>
      </c>
    </row>
    <row r="7" spans="1:3" ht="14.25" customHeight="1" x14ac:dyDescent="0.3">
      <c r="A7" s="158" t="s">
        <v>472</v>
      </c>
      <c r="B7" s="158" t="s">
        <v>473</v>
      </c>
      <c r="C7" s="158" t="s">
        <v>474</v>
      </c>
    </row>
    <row r="8" spans="1:3" ht="14.25" customHeight="1" x14ac:dyDescent="0.3"/>
    <row r="9" spans="1:3" ht="14.25" customHeight="1" x14ac:dyDescent="0.3">
      <c r="A9" s="152" t="s">
        <v>475</v>
      </c>
    </row>
    <row r="10" spans="1:3" ht="14.25" customHeight="1" x14ac:dyDescent="0.3">
      <c r="A10" s="158" t="s">
        <v>476</v>
      </c>
    </row>
    <row r="11" spans="1:3" ht="14.25" customHeight="1" x14ac:dyDescent="0.3"/>
    <row r="12" spans="1:3" ht="14.25" customHeight="1" x14ac:dyDescent="0.3">
      <c r="A12" s="152" t="s">
        <v>477</v>
      </c>
      <c r="B12" s="209"/>
    </row>
    <row r="13" spans="1:3" ht="14.25" customHeight="1" x14ac:dyDescent="0.3">
      <c r="A13" s="158" t="s">
        <v>478</v>
      </c>
    </row>
    <row r="14" spans="1:3" ht="14.25" customHeight="1" x14ac:dyDescent="0.3"/>
    <row r="15" spans="1:3" ht="14.25" customHeight="1" x14ac:dyDescent="0.3">
      <c r="A15" s="152" t="s">
        <v>479</v>
      </c>
    </row>
    <row r="16" spans="1:3" ht="14.25" customHeight="1" x14ac:dyDescent="0.3">
      <c r="A16" s="158" t="s">
        <v>480</v>
      </c>
    </row>
    <row r="17" spans="1:1" ht="14.25" customHeight="1" x14ac:dyDescent="0.3"/>
    <row r="18" spans="1:1" ht="14.25" customHeight="1" x14ac:dyDescent="0.3">
      <c r="A18" s="152" t="s">
        <v>481</v>
      </c>
    </row>
    <row r="19" spans="1:1" ht="14.25" customHeight="1" x14ac:dyDescent="0.3">
      <c r="A19" s="210" t="s">
        <v>482</v>
      </c>
    </row>
    <row r="20" spans="1:1" ht="14.25" customHeight="1" x14ac:dyDescent="0.3"/>
    <row r="21" spans="1:1" ht="14.25" customHeight="1" x14ac:dyDescent="0.3">
      <c r="A21" s="152" t="s">
        <v>483</v>
      </c>
    </row>
    <row r="22" spans="1:1" ht="14.25" customHeight="1" x14ac:dyDescent="0.3">
      <c r="A22" s="158" t="s">
        <v>484</v>
      </c>
    </row>
    <row r="23" spans="1:1" ht="14.25" customHeight="1" x14ac:dyDescent="0.3"/>
    <row r="24" spans="1:1" ht="14.25" customHeight="1" x14ac:dyDescent="0.3">
      <c r="A24" s="152" t="s">
        <v>485</v>
      </c>
    </row>
    <row r="25" spans="1:1" ht="14.25" customHeight="1" x14ac:dyDescent="0.3">
      <c r="A25" s="158" t="s">
        <v>486</v>
      </c>
    </row>
    <row r="26" spans="1:1" ht="14.25" customHeight="1" x14ac:dyDescent="0.3"/>
    <row r="27" spans="1:1" ht="14.25" customHeight="1" x14ac:dyDescent="0.3">
      <c r="A27" s="152" t="s">
        <v>487</v>
      </c>
    </row>
    <row r="28" spans="1:1" ht="14.25" customHeight="1" x14ac:dyDescent="0.3">
      <c r="A28" s="158" t="s">
        <v>488</v>
      </c>
    </row>
    <row r="29" spans="1:1" ht="14.25" customHeight="1" x14ac:dyDescent="0.3"/>
    <row r="30" spans="1:1" ht="14.25" customHeight="1" x14ac:dyDescent="0.3">
      <c r="A30" s="211">
        <v>3.2</v>
      </c>
    </row>
    <row r="31" spans="1:1" ht="14.25" customHeight="1" x14ac:dyDescent="0.3">
      <c r="A31" s="158" t="s">
        <v>489</v>
      </c>
    </row>
    <row r="32" spans="1:1" ht="14.25" customHeight="1" x14ac:dyDescent="0.3"/>
    <row r="33" spans="1:1" ht="14.25" customHeight="1" x14ac:dyDescent="0.3">
      <c r="A33" s="211">
        <v>3.3</v>
      </c>
    </row>
    <row r="34" spans="1:1" ht="60.75" customHeight="1" x14ac:dyDescent="0.3">
      <c r="A34" s="158" t="s">
        <v>490</v>
      </c>
    </row>
    <row r="35" spans="1:1" ht="14.25" customHeight="1" x14ac:dyDescent="0.3"/>
    <row r="36" spans="1:1" ht="14.25" customHeight="1" x14ac:dyDescent="0.3">
      <c r="A36" s="211">
        <v>3.4</v>
      </c>
    </row>
    <row r="37" spans="1:1" ht="14.25" customHeight="1" x14ac:dyDescent="0.3">
      <c r="A37" s="158" t="s">
        <v>491</v>
      </c>
    </row>
    <row r="38" spans="1:1" ht="14.25" customHeight="1" x14ac:dyDescent="0.3"/>
    <row r="39" spans="1:1" ht="14.25" customHeight="1" x14ac:dyDescent="0.3"/>
    <row r="40" spans="1:1" ht="14.25" customHeight="1" x14ac:dyDescent="0.3"/>
    <row r="41" spans="1:1" ht="14.25" customHeight="1" x14ac:dyDescent="0.3"/>
    <row r="42" spans="1:1" ht="14.25" customHeight="1" x14ac:dyDescent="0.3"/>
    <row r="43" spans="1:1" ht="14.25" customHeight="1" x14ac:dyDescent="0.3"/>
    <row r="44" spans="1:1" ht="14.25" customHeight="1" x14ac:dyDescent="0.3"/>
    <row r="45" spans="1:1" ht="14.25" customHeight="1" x14ac:dyDescent="0.3"/>
    <row r="46" spans="1:1" ht="14.25" customHeight="1" x14ac:dyDescent="0.3"/>
    <row r="47" spans="1:1" ht="14.25" customHeight="1" x14ac:dyDescent="0.3"/>
    <row r="48" spans="1:1"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Hoja16"/>
  <dimension ref="A1:F1000"/>
  <sheetViews>
    <sheetView workbookViewId="0"/>
  </sheetViews>
  <sheetFormatPr baseColWidth="10" defaultColWidth="14.44140625" defaultRowHeight="15" customHeight="1" x14ac:dyDescent="0.3"/>
  <cols>
    <col min="1" max="1" width="15.44140625" customWidth="1"/>
    <col min="2" max="2" width="10.6640625" customWidth="1"/>
    <col min="3" max="3" width="20.109375" customWidth="1"/>
    <col min="4" max="4" width="11.5546875" customWidth="1"/>
    <col min="5" max="5" width="19.6640625" customWidth="1"/>
    <col min="6" max="6" width="14.44140625" customWidth="1"/>
  </cols>
  <sheetData>
    <row r="1" spans="1:6" ht="14.25" customHeight="1" x14ac:dyDescent="0.3">
      <c r="A1" s="25" t="s">
        <v>492</v>
      </c>
    </row>
    <row r="2" spans="1:6" ht="14.25" customHeight="1" x14ac:dyDescent="0.3">
      <c r="A2" s="211" t="s">
        <v>385</v>
      </c>
      <c r="B2" s="211" t="s">
        <v>5</v>
      </c>
      <c r="C2" s="211" t="s">
        <v>493</v>
      </c>
    </row>
    <row r="3" spans="1:6" ht="14.25" customHeight="1" x14ac:dyDescent="0.3">
      <c r="A3" s="212">
        <v>1</v>
      </c>
      <c r="B3" s="213" t="s">
        <v>394</v>
      </c>
      <c r="C3" s="214" t="s">
        <v>438</v>
      </c>
    </row>
    <row r="4" spans="1:6" ht="14.25" customHeight="1" x14ac:dyDescent="0.3">
      <c r="A4" s="215">
        <v>2</v>
      </c>
      <c r="B4" s="136" t="s">
        <v>154</v>
      </c>
      <c r="C4" s="114" t="s">
        <v>438</v>
      </c>
    </row>
    <row r="5" spans="1:6" ht="14.25" customHeight="1" x14ac:dyDescent="0.3">
      <c r="A5" s="215">
        <v>3</v>
      </c>
      <c r="B5" s="136" t="s">
        <v>398</v>
      </c>
      <c r="C5" s="114" t="s">
        <v>148</v>
      </c>
    </row>
    <row r="6" spans="1:6" ht="14.25" customHeight="1" x14ac:dyDescent="0.3">
      <c r="A6" s="215">
        <v>4</v>
      </c>
      <c r="B6" s="136" t="s">
        <v>402</v>
      </c>
      <c r="C6" s="114" t="s">
        <v>148</v>
      </c>
    </row>
    <row r="7" spans="1:6" ht="14.25" customHeight="1" x14ac:dyDescent="0.3">
      <c r="A7" s="215">
        <v>5</v>
      </c>
      <c r="B7" s="136" t="s">
        <v>343</v>
      </c>
      <c r="C7" s="114" t="s">
        <v>148</v>
      </c>
    </row>
    <row r="8" spans="1:6" ht="14.25" customHeight="1" x14ac:dyDescent="0.3">
      <c r="A8" s="215">
        <v>6</v>
      </c>
      <c r="B8" s="136" t="s">
        <v>160</v>
      </c>
      <c r="C8" s="114" t="s">
        <v>494</v>
      </c>
    </row>
    <row r="9" spans="1:6" ht="14.25" customHeight="1" x14ac:dyDescent="0.3">
      <c r="A9" s="215">
        <v>7</v>
      </c>
      <c r="B9" s="136" t="s">
        <v>407</v>
      </c>
      <c r="C9" s="114" t="s">
        <v>494</v>
      </c>
    </row>
    <row r="10" spans="1:6" ht="14.25" customHeight="1" x14ac:dyDescent="0.3">
      <c r="A10" s="216">
        <v>8</v>
      </c>
      <c r="B10" s="217" t="s">
        <v>408</v>
      </c>
      <c r="C10" s="117" t="s">
        <v>494</v>
      </c>
    </row>
    <row r="11" spans="1:6" ht="14.25" customHeight="1" x14ac:dyDescent="0.3"/>
    <row r="12" spans="1:6" ht="14.25" customHeight="1" x14ac:dyDescent="0.3"/>
    <row r="13" spans="1:6" ht="14.25" customHeight="1" x14ac:dyDescent="0.3">
      <c r="A13" s="167" t="s">
        <v>385</v>
      </c>
      <c r="B13" s="168" t="s">
        <v>386</v>
      </c>
      <c r="C13" s="168" t="s">
        <v>387</v>
      </c>
      <c r="D13" s="168" t="s">
        <v>445</v>
      </c>
      <c r="E13" s="168" t="s">
        <v>495</v>
      </c>
      <c r="F13" s="169" t="s">
        <v>445</v>
      </c>
    </row>
    <row r="14" spans="1:6" ht="14.25" customHeight="1" x14ac:dyDescent="0.3">
      <c r="A14" s="184">
        <v>1</v>
      </c>
      <c r="B14" s="185" t="s">
        <v>393</v>
      </c>
      <c r="C14" s="185" t="s">
        <v>394</v>
      </c>
      <c r="D14" s="218" t="s">
        <v>438</v>
      </c>
      <c r="E14" s="219" t="s">
        <v>496</v>
      </c>
      <c r="F14" s="220" t="s">
        <v>438</v>
      </c>
    </row>
    <row r="15" spans="1:6" ht="14.25" customHeight="1" x14ac:dyDescent="0.3">
      <c r="A15" s="40">
        <v>2</v>
      </c>
      <c r="B15" s="175" t="s">
        <v>393</v>
      </c>
      <c r="C15" s="175" t="s">
        <v>154</v>
      </c>
      <c r="D15" s="136" t="s">
        <v>438</v>
      </c>
      <c r="E15" s="221" t="s">
        <v>496</v>
      </c>
      <c r="F15" s="222" t="s">
        <v>438</v>
      </c>
    </row>
    <row r="16" spans="1:6" ht="14.25" customHeight="1" x14ac:dyDescent="0.3">
      <c r="A16" s="170">
        <v>3</v>
      </c>
      <c r="B16" s="175" t="s">
        <v>393</v>
      </c>
      <c r="C16" s="175" t="s">
        <v>398</v>
      </c>
      <c r="D16" s="136" t="s">
        <v>148</v>
      </c>
      <c r="E16" s="221" t="s">
        <v>496</v>
      </c>
      <c r="F16" s="223" t="s">
        <v>438</v>
      </c>
    </row>
    <row r="17" spans="1:6" ht="14.25" customHeight="1" x14ac:dyDescent="0.3">
      <c r="A17" s="40">
        <v>4</v>
      </c>
      <c r="B17" s="175" t="s">
        <v>393</v>
      </c>
      <c r="C17" s="175" t="s">
        <v>402</v>
      </c>
      <c r="D17" s="136" t="s">
        <v>148</v>
      </c>
      <c r="E17" s="221" t="s">
        <v>496</v>
      </c>
      <c r="F17" s="223" t="s">
        <v>438</v>
      </c>
    </row>
    <row r="18" spans="1:6" ht="14.25" customHeight="1" x14ac:dyDescent="0.3">
      <c r="A18" s="170">
        <v>5</v>
      </c>
      <c r="B18" s="175" t="s">
        <v>393</v>
      </c>
      <c r="C18" s="175" t="s">
        <v>343</v>
      </c>
      <c r="D18" s="136" t="s">
        <v>148</v>
      </c>
      <c r="E18" s="221" t="s">
        <v>496</v>
      </c>
      <c r="F18" s="223" t="s">
        <v>438</v>
      </c>
    </row>
    <row r="19" spans="1:6" ht="14.25" customHeight="1" x14ac:dyDescent="0.3">
      <c r="A19" s="40">
        <v>6</v>
      </c>
      <c r="B19" s="175" t="s">
        <v>393</v>
      </c>
      <c r="C19" s="175" t="s">
        <v>160</v>
      </c>
      <c r="D19" s="136" t="s">
        <v>494</v>
      </c>
      <c r="E19" s="221" t="s">
        <v>496</v>
      </c>
      <c r="F19" s="223" t="s">
        <v>438</v>
      </c>
    </row>
    <row r="20" spans="1:6" ht="14.25" customHeight="1" x14ac:dyDescent="0.3">
      <c r="A20" s="170">
        <v>7</v>
      </c>
      <c r="B20" s="175" t="s">
        <v>393</v>
      </c>
      <c r="C20" s="175" t="s">
        <v>407</v>
      </c>
      <c r="D20" s="136" t="s">
        <v>494</v>
      </c>
      <c r="E20" s="221" t="s">
        <v>496</v>
      </c>
      <c r="F20" s="223" t="s">
        <v>438</v>
      </c>
    </row>
    <row r="21" spans="1:6" ht="14.25" customHeight="1" x14ac:dyDescent="0.3">
      <c r="A21" s="40">
        <v>8</v>
      </c>
      <c r="B21" s="175" t="s">
        <v>393</v>
      </c>
      <c r="C21" s="175" t="s">
        <v>408</v>
      </c>
      <c r="D21" s="136" t="s">
        <v>494</v>
      </c>
      <c r="E21" s="221" t="s">
        <v>496</v>
      </c>
      <c r="F21" s="222" t="s">
        <v>378</v>
      </c>
    </row>
    <row r="22" spans="1:6" ht="14.25" customHeight="1" x14ac:dyDescent="0.3">
      <c r="A22" s="170">
        <v>9</v>
      </c>
      <c r="B22" s="175" t="s">
        <v>409</v>
      </c>
      <c r="C22" s="175" t="s">
        <v>394</v>
      </c>
      <c r="D22" s="136" t="s">
        <v>438</v>
      </c>
      <c r="E22" s="221" t="s">
        <v>496</v>
      </c>
      <c r="F22" s="222" t="s">
        <v>438</v>
      </c>
    </row>
    <row r="23" spans="1:6" ht="14.25" customHeight="1" x14ac:dyDescent="0.3">
      <c r="A23" s="40">
        <v>10</v>
      </c>
      <c r="B23" s="175" t="s">
        <v>409</v>
      </c>
      <c r="C23" s="175" t="s">
        <v>154</v>
      </c>
      <c r="D23" s="136" t="s">
        <v>438</v>
      </c>
      <c r="E23" s="221" t="s">
        <v>496</v>
      </c>
      <c r="F23" s="222" t="s">
        <v>438</v>
      </c>
    </row>
    <row r="24" spans="1:6" ht="14.25" customHeight="1" x14ac:dyDescent="0.3">
      <c r="A24" s="170">
        <v>11</v>
      </c>
      <c r="B24" s="175" t="s">
        <v>409</v>
      </c>
      <c r="C24" s="175" t="s">
        <v>398</v>
      </c>
      <c r="D24" s="136" t="s">
        <v>148</v>
      </c>
      <c r="E24" s="221" t="s">
        <v>496</v>
      </c>
      <c r="F24" s="222" t="s">
        <v>148</v>
      </c>
    </row>
    <row r="25" spans="1:6" ht="14.25" customHeight="1" x14ac:dyDescent="0.3">
      <c r="A25" s="40">
        <v>12</v>
      </c>
      <c r="B25" s="175" t="s">
        <v>409</v>
      </c>
      <c r="C25" s="175" t="s">
        <v>402</v>
      </c>
      <c r="D25" s="136" t="s">
        <v>148</v>
      </c>
      <c r="E25" s="221" t="s">
        <v>496</v>
      </c>
      <c r="F25" s="222" t="s">
        <v>148</v>
      </c>
    </row>
    <row r="26" spans="1:6" ht="14.25" customHeight="1" x14ac:dyDescent="0.3">
      <c r="A26" s="170">
        <v>13</v>
      </c>
      <c r="B26" s="175" t="s">
        <v>409</v>
      </c>
      <c r="C26" s="175" t="s">
        <v>343</v>
      </c>
      <c r="D26" s="136" t="s">
        <v>148</v>
      </c>
      <c r="E26" s="221" t="s">
        <v>496</v>
      </c>
      <c r="F26" s="222" t="s">
        <v>148</v>
      </c>
    </row>
    <row r="27" spans="1:6" ht="14.25" customHeight="1" x14ac:dyDescent="0.3">
      <c r="A27" s="40">
        <v>14</v>
      </c>
      <c r="B27" s="175" t="s">
        <v>409</v>
      </c>
      <c r="C27" s="175" t="s">
        <v>160</v>
      </c>
      <c r="D27" s="136" t="s">
        <v>494</v>
      </c>
      <c r="E27" s="221" t="s">
        <v>496</v>
      </c>
      <c r="F27" s="223" t="s">
        <v>438</v>
      </c>
    </row>
    <row r="28" spans="1:6" ht="14.25" customHeight="1" x14ac:dyDescent="0.3">
      <c r="A28" s="170">
        <v>15</v>
      </c>
      <c r="B28" s="175" t="s">
        <v>409</v>
      </c>
      <c r="C28" s="175" t="s">
        <v>407</v>
      </c>
      <c r="D28" s="136" t="s">
        <v>494</v>
      </c>
      <c r="E28" s="221" t="s">
        <v>496</v>
      </c>
      <c r="F28" s="223" t="s">
        <v>438</v>
      </c>
    </row>
    <row r="29" spans="1:6" ht="14.25" customHeight="1" x14ac:dyDescent="0.3">
      <c r="A29" s="40">
        <v>16</v>
      </c>
      <c r="B29" s="175" t="s">
        <v>409</v>
      </c>
      <c r="C29" s="175" t="s">
        <v>408</v>
      </c>
      <c r="D29" s="136" t="s">
        <v>494</v>
      </c>
      <c r="E29" s="221" t="s">
        <v>496</v>
      </c>
      <c r="F29" s="223" t="s">
        <v>438</v>
      </c>
    </row>
    <row r="30" spans="1:6" ht="14.25" customHeight="1" x14ac:dyDescent="0.3">
      <c r="A30" s="170">
        <v>17</v>
      </c>
      <c r="B30" s="175" t="s">
        <v>138</v>
      </c>
      <c r="C30" s="175" t="s">
        <v>394</v>
      </c>
      <c r="D30" s="136" t="s">
        <v>438</v>
      </c>
      <c r="E30" s="221" t="s">
        <v>496</v>
      </c>
      <c r="F30" s="222" t="s">
        <v>438</v>
      </c>
    </row>
    <row r="31" spans="1:6" ht="14.25" customHeight="1" x14ac:dyDescent="0.3">
      <c r="A31" s="40">
        <v>18</v>
      </c>
      <c r="B31" s="175" t="s">
        <v>138</v>
      </c>
      <c r="C31" s="175" t="s">
        <v>154</v>
      </c>
      <c r="D31" s="136" t="s">
        <v>438</v>
      </c>
      <c r="E31" s="221" t="s">
        <v>496</v>
      </c>
      <c r="F31" s="222" t="s">
        <v>438</v>
      </c>
    </row>
    <row r="32" spans="1:6" ht="14.25" customHeight="1" x14ac:dyDescent="0.3">
      <c r="A32" s="170">
        <v>19</v>
      </c>
      <c r="B32" s="175" t="s">
        <v>138</v>
      </c>
      <c r="C32" s="175" t="s">
        <v>398</v>
      </c>
      <c r="D32" s="136" t="s">
        <v>148</v>
      </c>
      <c r="E32" s="221" t="s">
        <v>496</v>
      </c>
      <c r="F32" s="222" t="s">
        <v>438</v>
      </c>
    </row>
    <row r="33" spans="1:6" ht="14.25" customHeight="1" x14ac:dyDescent="0.3">
      <c r="A33" s="40">
        <v>20</v>
      </c>
      <c r="B33" s="175" t="s">
        <v>138</v>
      </c>
      <c r="C33" s="175" t="s">
        <v>402</v>
      </c>
      <c r="D33" s="136" t="s">
        <v>148</v>
      </c>
      <c r="E33" s="221" t="s">
        <v>496</v>
      </c>
      <c r="F33" s="222" t="s">
        <v>438</v>
      </c>
    </row>
    <row r="34" spans="1:6" ht="14.25" customHeight="1" x14ac:dyDescent="0.3">
      <c r="A34" s="170">
        <v>21</v>
      </c>
      <c r="B34" s="175" t="s">
        <v>138</v>
      </c>
      <c r="C34" s="175" t="s">
        <v>343</v>
      </c>
      <c r="D34" s="136" t="s">
        <v>148</v>
      </c>
      <c r="E34" s="221" t="s">
        <v>496</v>
      </c>
      <c r="F34" s="222" t="s">
        <v>438</v>
      </c>
    </row>
    <row r="35" spans="1:6" ht="14.25" customHeight="1" x14ac:dyDescent="0.3">
      <c r="A35" s="40">
        <v>22</v>
      </c>
      <c r="B35" s="175" t="s">
        <v>138</v>
      </c>
      <c r="C35" s="175" t="s">
        <v>160</v>
      </c>
      <c r="D35" s="136" t="s">
        <v>494</v>
      </c>
      <c r="E35" s="221" t="s">
        <v>496</v>
      </c>
      <c r="F35" s="222" t="s">
        <v>148</v>
      </c>
    </row>
    <row r="36" spans="1:6" ht="14.25" customHeight="1" x14ac:dyDescent="0.3">
      <c r="A36" s="170">
        <v>23</v>
      </c>
      <c r="B36" s="175" t="s">
        <v>138</v>
      </c>
      <c r="C36" s="175" t="s">
        <v>407</v>
      </c>
      <c r="D36" s="136" t="s">
        <v>494</v>
      </c>
      <c r="E36" s="221" t="s">
        <v>496</v>
      </c>
      <c r="F36" s="222" t="s">
        <v>148</v>
      </c>
    </row>
    <row r="37" spans="1:6" ht="14.25" customHeight="1" x14ac:dyDescent="0.3">
      <c r="A37" s="40">
        <v>24</v>
      </c>
      <c r="B37" s="175" t="s">
        <v>138</v>
      </c>
      <c r="C37" s="175" t="s">
        <v>408</v>
      </c>
      <c r="D37" s="136" t="s">
        <v>494</v>
      </c>
      <c r="E37" s="221" t="s">
        <v>496</v>
      </c>
      <c r="F37" s="222" t="s">
        <v>148</v>
      </c>
    </row>
    <row r="38" spans="1:6" ht="14.25" customHeight="1" x14ac:dyDescent="0.3">
      <c r="A38" s="170">
        <v>25</v>
      </c>
      <c r="B38" s="175" t="s">
        <v>155</v>
      </c>
      <c r="C38" s="175" t="s">
        <v>394</v>
      </c>
      <c r="D38" s="136" t="s">
        <v>438</v>
      </c>
      <c r="E38" s="221" t="s">
        <v>496</v>
      </c>
      <c r="F38" s="222" t="s">
        <v>438</v>
      </c>
    </row>
    <row r="39" spans="1:6" ht="14.25" customHeight="1" x14ac:dyDescent="0.3">
      <c r="A39" s="40">
        <v>26</v>
      </c>
      <c r="B39" s="175" t="s">
        <v>155</v>
      </c>
      <c r="C39" s="175" t="s">
        <v>154</v>
      </c>
      <c r="D39" s="136" t="s">
        <v>438</v>
      </c>
      <c r="E39" s="221" t="s">
        <v>496</v>
      </c>
      <c r="F39" s="222" t="s">
        <v>438</v>
      </c>
    </row>
    <row r="40" spans="1:6" ht="14.25" customHeight="1" x14ac:dyDescent="0.3">
      <c r="A40" s="170">
        <v>27</v>
      </c>
      <c r="B40" s="175" t="s">
        <v>155</v>
      </c>
      <c r="C40" s="175" t="s">
        <v>398</v>
      </c>
      <c r="D40" s="136" t="s">
        <v>148</v>
      </c>
      <c r="E40" s="221" t="s">
        <v>496</v>
      </c>
      <c r="F40" s="222" t="s">
        <v>438</v>
      </c>
    </row>
    <row r="41" spans="1:6" ht="14.25" customHeight="1" x14ac:dyDescent="0.3">
      <c r="A41" s="40">
        <v>28</v>
      </c>
      <c r="B41" s="175" t="s">
        <v>155</v>
      </c>
      <c r="C41" s="175" t="s">
        <v>402</v>
      </c>
      <c r="D41" s="136" t="s">
        <v>148</v>
      </c>
      <c r="E41" s="221" t="s">
        <v>496</v>
      </c>
      <c r="F41" s="222" t="s">
        <v>438</v>
      </c>
    </row>
    <row r="42" spans="1:6" ht="14.25" customHeight="1" x14ac:dyDescent="0.3">
      <c r="A42" s="170">
        <v>29</v>
      </c>
      <c r="B42" s="175" t="s">
        <v>155</v>
      </c>
      <c r="C42" s="175" t="s">
        <v>343</v>
      </c>
      <c r="D42" s="136" t="s">
        <v>148</v>
      </c>
      <c r="E42" s="221" t="s">
        <v>496</v>
      </c>
      <c r="F42" s="222" t="s">
        <v>438</v>
      </c>
    </row>
    <row r="43" spans="1:6" ht="14.25" customHeight="1" x14ac:dyDescent="0.3">
      <c r="A43" s="40">
        <v>30</v>
      </c>
      <c r="B43" s="175" t="s">
        <v>155</v>
      </c>
      <c r="C43" s="175" t="s">
        <v>160</v>
      </c>
      <c r="D43" s="136" t="s">
        <v>494</v>
      </c>
      <c r="E43" s="221" t="s">
        <v>496</v>
      </c>
      <c r="F43" s="222" t="s">
        <v>438</v>
      </c>
    </row>
    <row r="44" spans="1:6" ht="14.25" customHeight="1" x14ac:dyDescent="0.3">
      <c r="A44" s="170">
        <v>31</v>
      </c>
      <c r="B44" s="175" t="s">
        <v>155</v>
      </c>
      <c r="C44" s="175" t="s">
        <v>407</v>
      </c>
      <c r="D44" s="136" t="s">
        <v>494</v>
      </c>
      <c r="E44" s="221" t="s">
        <v>496</v>
      </c>
      <c r="F44" s="222" t="s">
        <v>438</v>
      </c>
    </row>
    <row r="45" spans="1:6" ht="14.25" customHeight="1" x14ac:dyDescent="0.3">
      <c r="A45" s="40">
        <v>32</v>
      </c>
      <c r="B45" s="175" t="s">
        <v>155</v>
      </c>
      <c r="C45" s="175" t="s">
        <v>408</v>
      </c>
      <c r="D45" s="136" t="s">
        <v>494</v>
      </c>
      <c r="E45" s="221" t="s">
        <v>496</v>
      </c>
      <c r="F45" s="222" t="s">
        <v>438</v>
      </c>
    </row>
    <row r="46" spans="1:6" ht="14.25" customHeight="1" x14ac:dyDescent="0.3">
      <c r="A46" s="170">
        <v>33</v>
      </c>
      <c r="B46" s="175" t="s">
        <v>421</v>
      </c>
      <c r="C46" s="175" t="s">
        <v>394</v>
      </c>
      <c r="D46" s="136" t="s">
        <v>399</v>
      </c>
      <c r="E46" s="221" t="s">
        <v>496</v>
      </c>
      <c r="F46" s="114" t="s">
        <v>399</v>
      </c>
    </row>
    <row r="47" spans="1:6" ht="14.25" customHeight="1" x14ac:dyDescent="0.3">
      <c r="A47" s="40">
        <v>34</v>
      </c>
      <c r="B47" s="175" t="s">
        <v>421</v>
      </c>
      <c r="C47" s="175" t="s">
        <v>154</v>
      </c>
      <c r="D47" s="136" t="s">
        <v>399</v>
      </c>
      <c r="E47" s="221" t="s">
        <v>496</v>
      </c>
      <c r="F47" s="114" t="s">
        <v>399</v>
      </c>
    </row>
    <row r="48" spans="1:6" ht="14.25" customHeight="1" x14ac:dyDescent="0.3">
      <c r="A48" s="170">
        <v>35</v>
      </c>
      <c r="B48" s="175" t="s">
        <v>421</v>
      </c>
      <c r="C48" s="175" t="s">
        <v>398</v>
      </c>
      <c r="D48" s="136" t="s">
        <v>399</v>
      </c>
      <c r="E48" s="221" t="s">
        <v>496</v>
      </c>
      <c r="F48" s="114" t="s">
        <v>399</v>
      </c>
    </row>
    <row r="49" spans="1:6" ht="14.25" customHeight="1" x14ac:dyDescent="0.3">
      <c r="A49" s="40">
        <v>36</v>
      </c>
      <c r="B49" s="175" t="s">
        <v>421</v>
      </c>
      <c r="C49" s="175" t="s">
        <v>402</v>
      </c>
      <c r="D49" s="136" t="s">
        <v>399</v>
      </c>
      <c r="E49" s="221" t="s">
        <v>496</v>
      </c>
      <c r="F49" s="114" t="s">
        <v>399</v>
      </c>
    </row>
    <row r="50" spans="1:6" ht="14.25" customHeight="1" x14ac:dyDescent="0.3">
      <c r="A50" s="170">
        <v>37</v>
      </c>
      <c r="B50" s="175" t="s">
        <v>421</v>
      </c>
      <c r="C50" s="175" t="s">
        <v>343</v>
      </c>
      <c r="D50" s="136" t="s">
        <v>399</v>
      </c>
      <c r="E50" s="221" t="s">
        <v>496</v>
      </c>
      <c r="F50" s="114" t="s">
        <v>399</v>
      </c>
    </row>
    <row r="51" spans="1:6" ht="14.25" customHeight="1" x14ac:dyDescent="0.3">
      <c r="A51" s="40">
        <v>38</v>
      </c>
      <c r="B51" s="175" t="s">
        <v>421</v>
      </c>
      <c r="C51" s="175" t="s">
        <v>160</v>
      </c>
      <c r="D51" s="136" t="s">
        <v>399</v>
      </c>
      <c r="E51" s="221" t="s">
        <v>496</v>
      </c>
      <c r="F51" s="114" t="s">
        <v>399</v>
      </c>
    </row>
    <row r="52" spans="1:6" ht="14.25" customHeight="1" x14ac:dyDescent="0.3">
      <c r="A52" s="170">
        <v>39</v>
      </c>
      <c r="B52" s="175" t="s">
        <v>421</v>
      </c>
      <c r="C52" s="175" t="s">
        <v>407</v>
      </c>
      <c r="D52" s="136" t="s">
        <v>399</v>
      </c>
      <c r="E52" s="221" t="s">
        <v>496</v>
      </c>
      <c r="F52" s="114" t="s">
        <v>399</v>
      </c>
    </row>
    <row r="53" spans="1:6" ht="14.25" customHeight="1" x14ac:dyDescent="0.3">
      <c r="A53" s="204">
        <v>40</v>
      </c>
      <c r="B53" s="186" t="s">
        <v>421</v>
      </c>
      <c r="C53" s="186" t="s">
        <v>408</v>
      </c>
      <c r="D53" s="217" t="s">
        <v>399</v>
      </c>
      <c r="E53" s="224" t="s">
        <v>496</v>
      </c>
      <c r="F53" s="117" t="s">
        <v>399</v>
      </c>
    </row>
    <row r="54" spans="1:6" ht="14.25" customHeight="1" x14ac:dyDescent="0.3"/>
    <row r="55" spans="1:6" ht="14.25" customHeight="1" x14ac:dyDescent="0.3"/>
    <row r="56" spans="1:6" ht="14.25" customHeight="1" x14ac:dyDescent="0.3"/>
    <row r="57" spans="1:6" ht="14.25" customHeight="1" x14ac:dyDescent="0.3"/>
    <row r="58" spans="1:6" ht="14.25" customHeight="1" x14ac:dyDescent="0.3"/>
    <row r="59" spans="1:6" ht="14.25" customHeight="1" x14ac:dyDescent="0.3"/>
    <row r="60" spans="1:6" ht="14.25" customHeight="1" x14ac:dyDescent="0.3"/>
    <row r="61" spans="1:6" ht="14.25" customHeight="1" x14ac:dyDescent="0.3"/>
    <row r="62" spans="1:6" ht="14.25" customHeight="1" x14ac:dyDescent="0.3"/>
    <row r="63" spans="1:6" ht="14.25" customHeight="1" x14ac:dyDescent="0.3"/>
    <row r="64" spans="1:6"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41.25" customHeight="1" x14ac:dyDescent="0.3"/>
    <row r="80" ht="14.25" customHeight="1" x14ac:dyDescent="0.3"/>
    <row r="81" spans="1:2" ht="14.25" customHeight="1" x14ac:dyDescent="0.3"/>
    <row r="82" spans="1:2" ht="14.25" customHeight="1" x14ac:dyDescent="0.3"/>
    <row r="83" spans="1:2" ht="14.25" customHeight="1" x14ac:dyDescent="0.3"/>
    <row r="84" spans="1:2" ht="14.25" customHeight="1" x14ac:dyDescent="0.3"/>
    <row r="85" spans="1:2" ht="14.25" customHeight="1" x14ac:dyDescent="0.3"/>
    <row r="86" spans="1:2" ht="14.25" customHeight="1" x14ac:dyDescent="0.3"/>
    <row r="87" spans="1:2" ht="14.25" customHeight="1" x14ac:dyDescent="0.3"/>
    <row r="88" spans="1:2" ht="14.25" customHeight="1" x14ac:dyDescent="0.3"/>
    <row r="89" spans="1:2" ht="14.25" customHeight="1" x14ac:dyDescent="0.3"/>
    <row r="90" spans="1:2" ht="14.25" customHeight="1" x14ac:dyDescent="0.3"/>
    <row r="91" spans="1:2" ht="14.25" customHeight="1" x14ac:dyDescent="0.3"/>
    <row r="92" spans="1:2" ht="14.25" customHeight="1" x14ac:dyDescent="0.3"/>
    <row r="93" spans="1:2" ht="14.25" customHeight="1" x14ac:dyDescent="0.3"/>
    <row r="94" spans="1:2" ht="14.25" customHeight="1" x14ac:dyDescent="0.3"/>
    <row r="95" spans="1:2" ht="14.25" customHeight="1" x14ac:dyDescent="0.3">
      <c r="A95" s="225" t="s">
        <v>497</v>
      </c>
      <c r="B95" s="226" t="s">
        <v>498</v>
      </c>
    </row>
    <row r="96" spans="1:2"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4.25" customHeight="1" x14ac:dyDescent="0.3"/>
    <row r="284" ht="14.25" customHeight="1" x14ac:dyDescent="0.3"/>
    <row r="285" ht="14.25" customHeight="1" x14ac:dyDescent="0.3"/>
    <row r="286" ht="14.25" customHeight="1" x14ac:dyDescent="0.3"/>
    <row r="287" ht="14.25" customHeight="1" x14ac:dyDescent="0.3"/>
    <row r="288" ht="14.25" customHeight="1" x14ac:dyDescent="0.3"/>
    <row r="289" ht="14.25" customHeight="1" x14ac:dyDescent="0.3"/>
    <row r="290" ht="14.25" customHeight="1" x14ac:dyDescent="0.3"/>
    <row r="291" ht="14.25" customHeight="1" x14ac:dyDescent="0.3"/>
    <row r="292" ht="14.25" customHeight="1" x14ac:dyDescent="0.3"/>
    <row r="293" ht="14.25" customHeight="1" x14ac:dyDescent="0.3"/>
    <row r="294" ht="14.25" customHeight="1" x14ac:dyDescent="0.3"/>
    <row r="295" ht="14.2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Hoja17"/>
  <dimension ref="A1:K1000"/>
  <sheetViews>
    <sheetView workbookViewId="0"/>
  </sheetViews>
  <sheetFormatPr baseColWidth="10" defaultColWidth="14.44140625" defaultRowHeight="15" customHeight="1" x14ac:dyDescent="0.3"/>
  <cols>
    <col min="1" max="1" width="109.6640625" customWidth="1"/>
    <col min="2" max="11" width="10.6640625" customWidth="1"/>
  </cols>
  <sheetData>
    <row r="1" spans="1:11" ht="14.25" customHeight="1" x14ac:dyDescent="0.3">
      <c r="A1" s="211">
        <v>4.0999999999999996</v>
      </c>
    </row>
    <row r="2" spans="1:11" ht="90" customHeight="1" x14ac:dyDescent="0.3">
      <c r="A2" s="158" t="s">
        <v>499</v>
      </c>
      <c r="K2" s="25" t="e">
        <f ca="1">_xludf.CONCAT(A1:A9)</f>
        <v>#NAME?</v>
      </c>
    </row>
    <row r="3" spans="1:11" ht="14.25" customHeight="1" x14ac:dyDescent="0.3"/>
    <row r="4" spans="1:11" ht="14.25" customHeight="1" x14ac:dyDescent="0.3">
      <c r="A4" s="211">
        <v>4.2</v>
      </c>
    </row>
    <row r="5" spans="1:11" ht="14.25" customHeight="1" x14ac:dyDescent="0.3">
      <c r="A5" s="158" t="s">
        <v>500</v>
      </c>
    </row>
    <row r="6" spans="1:11" ht="14.25" customHeight="1" x14ac:dyDescent="0.3"/>
    <row r="7" spans="1:11" ht="14.25" customHeight="1" x14ac:dyDescent="0.3"/>
    <row r="8" spans="1:11" ht="14.25" customHeight="1" x14ac:dyDescent="0.3"/>
    <row r="9" spans="1:11" ht="14.25" customHeight="1" x14ac:dyDescent="0.3"/>
    <row r="10" spans="1:11" ht="14.25" customHeight="1" x14ac:dyDescent="0.3"/>
    <row r="11" spans="1:11" ht="14.25" customHeight="1" x14ac:dyDescent="0.3"/>
    <row r="12" spans="1:11" ht="14.25" customHeight="1" x14ac:dyDescent="0.3"/>
    <row r="13" spans="1:11" ht="14.25" customHeight="1" x14ac:dyDescent="0.3"/>
    <row r="14" spans="1:11" ht="14.25" customHeight="1" x14ac:dyDescent="0.3"/>
    <row r="15" spans="1:11" ht="14.25" customHeight="1" x14ac:dyDescent="0.3"/>
    <row r="16" spans="1:11"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Hoja18"/>
  <dimension ref="A1:G1000"/>
  <sheetViews>
    <sheetView workbookViewId="0"/>
  </sheetViews>
  <sheetFormatPr baseColWidth="10" defaultColWidth="14.44140625" defaultRowHeight="15" customHeight="1" x14ac:dyDescent="0.3"/>
  <cols>
    <col min="1" max="1" width="17.33203125" customWidth="1"/>
    <col min="2" max="6" width="10.6640625" customWidth="1"/>
    <col min="7" max="7" width="77.44140625" customWidth="1"/>
  </cols>
  <sheetData>
    <row r="1" spans="1:7" ht="14.25" customHeight="1" x14ac:dyDescent="0.3">
      <c r="A1" s="25" t="s">
        <v>501</v>
      </c>
      <c r="G1" s="227" t="s">
        <v>502</v>
      </c>
    </row>
    <row r="2" spans="1:7" ht="30.75" customHeight="1" x14ac:dyDescent="0.3">
      <c r="A2" s="228" t="s">
        <v>503</v>
      </c>
      <c r="B2" s="229" t="s">
        <v>504</v>
      </c>
      <c r="G2" s="230" t="s">
        <v>505</v>
      </c>
    </row>
    <row r="3" spans="1:7" ht="56.25" customHeight="1" x14ac:dyDescent="0.3">
      <c r="A3" s="231" t="s">
        <v>506</v>
      </c>
      <c r="B3" s="37" t="s">
        <v>507</v>
      </c>
      <c r="G3" s="232" t="s">
        <v>508</v>
      </c>
    </row>
    <row r="4" spans="1:7" ht="14.25" customHeight="1" x14ac:dyDescent="0.3">
      <c r="A4" s="231" t="s">
        <v>509</v>
      </c>
      <c r="B4" s="43" t="s">
        <v>510</v>
      </c>
    </row>
    <row r="5" spans="1:7" ht="14.25" customHeight="1" x14ac:dyDescent="0.3">
      <c r="A5" s="204" t="s">
        <v>511</v>
      </c>
      <c r="B5" s="43" t="s">
        <v>473</v>
      </c>
      <c r="G5" s="233">
        <v>1.6</v>
      </c>
    </row>
    <row r="6" spans="1:7" ht="14.25" customHeight="1" x14ac:dyDescent="0.3">
      <c r="G6" s="158" t="s">
        <v>512</v>
      </c>
    </row>
    <row r="7" spans="1:7" ht="14.25" customHeight="1" x14ac:dyDescent="0.3"/>
    <row r="8" spans="1:7" ht="14.25" customHeight="1" x14ac:dyDescent="0.3">
      <c r="A8" s="25" t="s">
        <v>513</v>
      </c>
      <c r="G8" s="211">
        <v>1.7</v>
      </c>
    </row>
    <row r="9" spans="1:7" ht="14.25" customHeight="1" x14ac:dyDescent="0.3">
      <c r="A9" s="228" t="s">
        <v>503</v>
      </c>
      <c r="B9" s="229" t="s">
        <v>504</v>
      </c>
      <c r="G9" s="158" t="s">
        <v>514</v>
      </c>
    </row>
    <row r="10" spans="1:7" ht="14.25" customHeight="1" x14ac:dyDescent="0.3">
      <c r="A10" s="231" t="s">
        <v>506</v>
      </c>
      <c r="B10" s="37" t="s">
        <v>507</v>
      </c>
    </row>
    <row r="11" spans="1:7" ht="14.25" customHeight="1" x14ac:dyDescent="0.3">
      <c r="A11" s="231" t="s">
        <v>515</v>
      </c>
      <c r="B11" s="37" t="s">
        <v>510</v>
      </c>
    </row>
    <row r="12" spans="1:7" ht="14.25" customHeight="1" x14ac:dyDescent="0.3">
      <c r="A12" s="204" t="s">
        <v>516</v>
      </c>
      <c r="B12" s="43" t="s">
        <v>517</v>
      </c>
    </row>
    <row r="13" spans="1:7" ht="14.25" customHeight="1" x14ac:dyDescent="0.3"/>
    <row r="14" spans="1:7" ht="14.25" customHeight="1" x14ac:dyDescent="0.3"/>
    <row r="15" spans="1:7" ht="14.25" customHeight="1" x14ac:dyDescent="0.3"/>
    <row r="16" spans="1:7"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Hoja20"/>
  <dimension ref="A1:K1000"/>
  <sheetViews>
    <sheetView workbookViewId="0"/>
  </sheetViews>
  <sheetFormatPr baseColWidth="10" defaultColWidth="14.44140625" defaultRowHeight="15" customHeight="1" x14ac:dyDescent="0.3"/>
  <cols>
    <col min="1" max="1" width="38.33203125" customWidth="1"/>
    <col min="2" max="2" width="21.33203125" customWidth="1"/>
    <col min="3" max="3" width="31.88671875" customWidth="1"/>
    <col min="4" max="4" width="29" customWidth="1"/>
    <col min="5" max="6" width="10.6640625" customWidth="1"/>
    <col min="7" max="7" width="64.109375" customWidth="1"/>
    <col min="8" max="9" width="10.6640625" customWidth="1"/>
    <col min="10" max="10" width="51.6640625" customWidth="1"/>
    <col min="11" max="11" width="10.6640625" customWidth="1"/>
  </cols>
  <sheetData>
    <row r="1" spans="1:11" ht="14.25" customHeight="1" x14ac:dyDescent="0.3">
      <c r="A1" s="25" t="s">
        <v>518</v>
      </c>
    </row>
    <row r="2" spans="1:11" ht="14.25" customHeight="1" x14ac:dyDescent="0.3">
      <c r="A2" s="234"/>
      <c r="B2" s="235" t="s">
        <v>519</v>
      </c>
      <c r="C2" s="235" t="s">
        <v>520</v>
      </c>
      <c r="D2" s="236"/>
      <c r="G2" s="237" t="s">
        <v>521</v>
      </c>
      <c r="H2" s="238" t="s">
        <v>392</v>
      </c>
      <c r="J2" s="239" t="s">
        <v>72</v>
      </c>
    </row>
    <row r="3" spans="1:11" ht="71.25" customHeight="1" x14ac:dyDescent="0.3">
      <c r="A3" s="240" t="s">
        <v>5</v>
      </c>
      <c r="B3" s="241" t="s">
        <v>522</v>
      </c>
      <c r="C3" s="241" t="s">
        <v>523</v>
      </c>
      <c r="D3" s="242" t="s">
        <v>524</v>
      </c>
      <c r="G3" s="184" t="s">
        <v>525</v>
      </c>
      <c r="H3" s="33">
        <v>1.25</v>
      </c>
      <c r="J3" s="158" t="s">
        <v>526</v>
      </c>
    </row>
    <row r="4" spans="1:11" ht="14.25" customHeight="1" x14ac:dyDescent="0.3">
      <c r="A4" s="170" t="s">
        <v>394</v>
      </c>
      <c r="B4" s="171">
        <v>50</v>
      </c>
      <c r="C4" s="171">
        <v>50</v>
      </c>
      <c r="D4" s="172">
        <v>65</v>
      </c>
      <c r="G4" s="40" t="s">
        <v>527</v>
      </c>
      <c r="H4" s="37">
        <v>1.25</v>
      </c>
      <c r="J4" s="239" t="s">
        <v>74</v>
      </c>
    </row>
    <row r="5" spans="1:11" ht="78" customHeight="1" x14ac:dyDescent="0.3">
      <c r="A5" s="40" t="s">
        <v>154</v>
      </c>
      <c r="B5" s="175">
        <v>50</v>
      </c>
      <c r="C5" s="175">
        <v>35</v>
      </c>
      <c r="D5" s="37">
        <v>65</v>
      </c>
      <c r="G5" s="204" t="s">
        <v>528</v>
      </c>
      <c r="H5" s="43">
        <v>2</v>
      </c>
      <c r="I5" s="25" t="s">
        <v>529</v>
      </c>
      <c r="J5" s="158" t="s">
        <v>530</v>
      </c>
    </row>
    <row r="6" spans="1:11" ht="14.25" customHeight="1" x14ac:dyDescent="0.3">
      <c r="A6" s="40" t="s">
        <v>398</v>
      </c>
      <c r="B6" s="175">
        <v>35</v>
      </c>
      <c r="C6" s="175">
        <v>35</v>
      </c>
      <c r="D6" s="37">
        <v>50</v>
      </c>
      <c r="J6" s="239" t="s">
        <v>77</v>
      </c>
    </row>
    <row r="7" spans="1:11" ht="14.25" customHeight="1" x14ac:dyDescent="0.3">
      <c r="A7" s="40" t="s">
        <v>402</v>
      </c>
      <c r="B7" s="175">
        <v>35</v>
      </c>
      <c r="C7" s="175">
        <v>35</v>
      </c>
      <c r="D7" s="37">
        <v>50</v>
      </c>
      <c r="J7" s="243" t="s">
        <v>531</v>
      </c>
      <c r="K7" s="25" t="e">
        <f ca="1">_xludf.CONCAT(J8:J15)</f>
        <v>#NAME?</v>
      </c>
    </row>
    <row r="8" spans="1:11" ht="14.25" customHeight="1" x14ac:dyDescent="0.3">
      <c r="A8" s="40" t="s">
        <v>343</v>
      </c>
      <c r="B8" s="175">
        <v>35</v>
      </c>
      <c r="C8" s="175">
        <v>20</v>
      </c>
      <c r="D8" s="37">
        <v>50</v>
      </c>
      <c r="G8" s="239" t="s">
        <v>483</v>
      </c>
    </row>
    <row r="9" spans="1:11" ht="147" customHeight="1" x14ac:dyDescent="0.3">
      <c r="A9" s="40" t="s">
        <v>160</v>
      </c>
      <c r="B9" s="175">
        <v>20</v>
      </c>
      <c r="C9" s="175">
        <v>20</v>
      </c>
      <c r="D9" s="37">
        <v>35</v>
      </c>
      <c r="G9" s="158" t="s">
        <v>532</v>
      </c>
    </row>
    <row r="10" spans="1:11" ht="14.25" customHeight="1" x14ac:dyDescent="0.3">
      <c r="A10" s="40" t="s">
        <v>407</v>
      </c>
      <c r="B10" s="175">
        <v>20</v>
      </c>
      <c r="C10" s="175">
        <v>20</v>
      </c>
      <c r="D10" s="37">
        <v>35</v>
      </c>
    </row>
    <row r="11" spans="1:11" ht="14.25" customHeight="1" x14ac:dyDescent="0.3">
      <c r="A11" s="204" t="s">
        <v>408</v>
      </c>
      <c r="B11" s="186">
        <v>20</v>
      </c>
      <c r="C11" s="186">
        <v>20</v>
      </c>
      <c r="D11" s="43">
        <v>35</v>
      </c>
    </row>
    <row r="12" spans="1:11" ht="14.25" customHeight="1" x14ac:dyDescent="0.3"/>
    <row r="13" spans="1:11" ht="14.25" customHeight="1" x14ac:dyDescent="0.3"/>
    <row r="14" spans="1:11" ht="14.25" customHeight="1" x14ac:dyDescent="0.3"/>
    <row r="15" spans="1:11" ht="14.25" customHeight="1" x14ac:dyDescent="0.3"/>
    <row r="16" spans="1:11" ht="14.25" customHeight="1" x14ac:dyDescent="0.3">
      <c r="A16" s="244" t="s">
        <v>5</v>
      </c>
      <c r="B16" s="245" t="s">
        <v>533</v>
      </c>
      <c r="C16" s="245" t="s">
        <v>534</v>
      </c>
      <c r="D16" s="246" t="s">
        <v>535</v>
      </c>
      <c r="G16" s="239">
        <v>1.1000000000000001</v>
      </c>
    </row>
    <row r="17" spans="1:7" ht="14.25" customHeight="1" x14ac:dyDescent="0.3">
      <c r="A17" s="247" t="s">
        <v>394</v>
      </c>
      <c r="B17" s="171">
        <v>50</v>
      </c>
      <c r="C17" s="171">
        <v>50</v>
      </c>
      <c r="D17" s="172">
        <v>2</v>
      </c>
      <c r="G17" s="243" t="s">
        <v>536</v>
      </c>
    </row>
    <row r="18" spans="1:7" ht="14.25" customHeight="1" x14ac:dyDescent="0.3">
      <c r="A18" s="248" t="s">
        <v>154</v>
      </c>
      <c r="B18" s="175">
        <v>50</v>
      </c>
      <c r="C18" s="175">
        <v>50</v>
      </c>
      <c r="D18" s="37">
        <v>2</v>
      </c>
    </row>
    <row r="19" spans="1:7" ht="14.25" customHeight="1" x14ac:dyDescent="0.3">
      <c r="A19" s="248" t="s">
        <v>398</v>
      </c>
      <c r="B19" s="175">
        <v>50</v>
      </c>
      <c r="C19" s="175">
        <v>50</v>
      </c>
      <c r="D19" s="37">
        <v>2</v>
      </c>
      <c r="G19" s="249"/>
    </row>
    <row r="20" spans="1:7" ht="14.25" customHeight="1" x14ac:dyDescent="0.3">
      <c r="A20" s="248" t="s">
        <v>402</v>
      </c>
      <c r="B20" s="175">
        <v>50</v>
      </c>
      <c r="C20" s="175">
        <v>50</v>
      </c>
      <c r="D20" s="37">
        <v>2</v>
      </c>
      <c r="G20" s="250" t="s">
        <v>537</v>
      </c>
    </row>
    <row r="21" spans="1:7" ht="14.25" customHeight="1" x14ac:dyDescent="0.3">
      <c r="A21" s="248" t="s">
        <v>343</v>
      </c>
      <c r="B21" s="175">
        <v>50</v>
      </c>
      <c r="C21" s="175">
        <v>50</v>
      </c>
      <c r="D21" s="37">
        <v>2</v>
      </c>
      <c r="G21" s="251" t="s">
        <v>538</v>
      </c>
    </row>
    <row r="22" spans="1:7" ht="14.25" customHeight="1" x14ac:dyDescent="0.3">
      <c r="A22" s="248" t="s">
        <v>160</v>
      </c>
      <c r="B22" s="175">
        <v>50</v>
      </c>
      <c r="C22" s="175" t="s">
        <v>399</v>
      </c>
      <c r="D22" s="37">
        <v>2</v>
      </c>
      <c r="G22" s="251" t="s">
        <v>539</v>
      </c>
    </row>
    <row r="23" spans="1:7" ht="14.25" customHeight="1" x14ac:dyDescent="0.3">
      <c r="A23" s="248" t="s">
        <v>407</v>
      </c>
      <c r="B23" s="175">
        <v>50</v>
      </c>
      <c r="C23" s="175" t="s">
        <v>399</v>
      </c>
      <c r="D23" s="37">
        <v>2</v>
      </c>
      <c r="G23" s="251" t="s">
        <v>540</v>
      </c>
    </row>
    <row r="24" spans="1:7" ht="14.25" customHeight="1" x14ac:dyDescent="0.3">
      <c r="A24" s="252" t="s">
        <v>408</v>
      </c>
      <c r="B24" s="186">
        <v>50</v>
      </c>
      <c r="C24" s="186" t="s">
        <v>399</v>
      </c>
      <c r="D24" s="43">
        <v>2</v>
      </c>
    </row>
    <row r="25" spans="1:7" ht="14.25" customHeight="1" x14ac:dyDescent="0.3"/>
    <row r="26" spans="1:7" ht="14.25" customHeight="1" x14ac:dyDescent="0.3"/>
    <row r="27" spans="1:7" ht="14.25" customHeight="1" x14ac:dyDescent="0.3">
      <c r="A27" s="253" t="s">
        <v>541</v>
      </c>
    </row>
    <row r="28" spans="1:7" ht="14.25" customHeight="1" x14ac:dyDescent="0.3">
      <c r="A28" s="253" t="s">
        <v>542</v>
      </c>
    </row>
    <row r="29" spans="1:7" ht="14.25" customHeight="1" x14ac:dyDescent="0.3">
      <c r="A29" s="253" t="s">
        <v>543</v>
      </c>
    </row>
    <row r="30" spans="1:7" ht="14.25" customHeight="1" x14ac:dyDescent="0.3">
      <c r="A30" s="253" t="s">
        <v>544</v>
      </c>
    </row>
    <row r="31" spans="1:7" ht="14.25" customHeight="1" x14ac:dyDescent="0.3">
      <c r="A31" s="253" t="s">
        <v>545</v>
      </c>
    </row>
    <row r="32" spans="1:7" ht="14.25" customHeight="1" x14ac:dyDescent="0.3">
      <c r="A32" s="253" t="s">
        <v>546</v>
      </c>
    </row>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Hoja21"/>
  <dimension ref="A1:F1000"/>
  <sheetViews>
    <sheetView workbookViewId="0"/>
  </sheetViews>
  <sheetFormatPr baseColWidth="10" defaultColWidth="14.44140625" defaultRowHeight="15" customHeight="1" x14ac:dyDescent="0.3"/>
  <cols>
    <col min="1" max="1" width="42.6640625" customWidth="1"/>
    <col min="2" max="4" width="10.6640625" customWidth="1"/>
    <col min="5" max="5" width="89" customWidth="1"/>
    <col min="6" max="6" width="10.6640625" customWidth="1"/>
  </cols>
  <sheetData>
    <row r="1" spans="1:6" ht="14.25" customHeight="1" x14ac:dyDescent="0.3">
      <c r="A1" s="228" t="s">
        <v>547</v>
      </c>
      <c r="B1" s="228" t="s">
        <v>548</v>
      </c>
      <c r="C1" s="228" t="s">
        <v>549</v>
      </c>
      <c r="D1" s="228" t="s">
        <v>550</v>
      </c>
      <c r="E1" s="228" t="s">
        <v>551</v>
      </c>
      <c r="F1" s="228" t="s">
        <v>552</v>
      </c>
    </row>
    <row r="2" spans="1:6" ht="14.25" customHeight="1" x14ac:dyDescent="0.3">
      <c r="A2" s="170" t="s">
        <v>553</v>
      </c>
      <c r="B2" s="171">
        <v>1</v>
      </c>
      <c r="C2" s="171" t="s">
        <v>554</v>
      </c>
      <c r="D2" s="171" t="s">
        <v>554</v>
      </c>
      <c r="E2" s="171" t="s">
        <v>150</v>
      </c>
      <c r="F2" s="172" t="s">
        <v>554</v>
      </c>
    </row>
    <row r="3" spans="1:6" ht="14.25" customHeight="1" x14ac:dyDescent="0.3">
      <c r="A3" s="40" t="s">
        <v>555</v>
      </c>
      <c r="B3" s="175">
        <v>0.8</v>
      </c>
      <c r="C3" s="175" t="s">
        <v>554</v>
      </c>
      <c r="D3" s="175" t="s">
        <v>554</v>
      </c>
      <c r="E3" s="175" t="s">
        <v>554</v>
      </c>
      <c r="F3" s="37" t="s">
        <v>554</v>
      </c>
    </row>
    <row r="4" spans="1:6" ht="14.25" customHeight="1" x14ac:dyDescent="0.3">
      <c r="A4" s="40" t="s">
        <v>556</v>
      </c>
      <c r="B4" s="175" t="s">
        <v>554</v>
      </c>
      <c r="C4" s="175">
        <v>14</v>
      </c>
      <c r="D4" s="175" t="s">
        <v>554</v>
      </c>
      <c r="E4" s="175" t="s">
        <v>150</v>
      </c>
      <c r="F4" s="37" t="s">
        <v>554</v>
      </c>
    </row>
    <row r="5" spans="1:6" ht="14.25" customHeight="1" x14ac:dyDescent="0.3">
      <c r="A5" s="40" t="s">
        <v>557</v>
      </c>
      <c r="B5" s="175" t="s">
        <v>554</v>
      </c>
      <c r="C5" s="175">
        <v>1.5</v>
      </c>
      <c r="D5" s="175">
        <v>25</v>
      </c>
      <c r="E5" s="175" t="s">
        <v>150</v>
      </c>
      <c r="F5" s="37" t="s">
        <v>554</v>
      </c>
    </row>
    <row r="6" spans="1:6" ht="14.25" customHeight="1" x14ac:dyDescent="0.3">
      <c r="A6" s="40" t="s">
        <v>557</v>
      </c>
      <c r="B6" s="175" t="s">
        <v>554</v>
      </c>
      <c r="C6" s="175">
        <v>2.8</v>
      </c>
      <c r="D6" s="175" t="s">
        <v>554</v>
      </c>
      <c r="E6" s="175" t="s">
        <v>150</v>
      </c>
      <c r="F6" s="37" t="s">
        <v>554</v>
      </c>
    </row>
    <row r="7" spans="1:6" ht="14.25" customHeight="1" x14ac:dyDescent="0.3">
      <c r="A7" s="204" t="s">
        <v>558</v>
      </c>
      <c r="B7" s="186" t="s">
        <v>554</v>
      </c>
      <c r="C7" s="186" t="s">
        <v>554</v>
      </c>
      <c r="D7" s="186" t="s">
        <v>554</v>
      </c>
      <c r="E7" s="186" t="s">
        <v>554</v>
      </c>
      <c r="F7" s="43">
        <v>10</v>
      </c>
    </row>
    <row r="8" spans="1:6" ht="14.25" customHeight="1" x14ac:dyDescent="0.3"/>
    <row r="9" spans="1:6" ht="14.25" customHeight="1" x14ac:dyDescent="0.3">
      <c r="A9" s="246" t="s">
        <v>559</v>
      </c>
      <c r="E9" s="254">
        <v>4.2</v>
      </c>
    </row>
    <row r="10" spans="1:6" ht="87.75" customHeight="1" x14ac:dyDescent="0.3">
      <c r="A10" s="255" t="s">
        <v>560</v>
      </c>
      <c r="E10" s="158" t="s">
        <v>561</v>
      </c>
    </row>
    <row r="11" spans="1:6" ht="14.25" customHeight="1" x14ac:dyDescent="0.3">
      <c r="A11" s="232" t="s">
        <v>562</v>
      </c>
    </row>
    <row r="12" spans="1:6" ht="14.25" customHeight="1" x14ac:dyDescent="0.3"/>
    <row r="13" spans="1:6" ht="14.25" customHeight="1" x14ac:dyDescent="0.3">
      <c r="A13" s="246" t="s">
        <v>563</v>
      </c>
    </row>
    <row r="14" spans="1:6" ht="87" customHeight="1" x14ac:dyDescent="0.3">
      <c r="A14" s="255" t="s">
        <v>564</v>
      </c>
    </row>
    <row r="15" spans="1:6" ht="14.25" customHeight="1" x14ac:dyDescent="0.3">
      <c r="A15" s="232" t="s">
        <v>565</v>
      </c>
    </row>
    <row r="16" spans="1:6"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Hoja22"/>
  <dimension ref="A1:I1000"/>
  <sheetViews>
    <sheetView workbookViewId="0"/>
  </sheetViews>
  <sheetFormatPr baseColWidth="10" defaultColWidth="14.44140625" defaultRowHeight="15" customHeight="1" x14ac:dyDescent="0.3"/>
  <cols>
    <col min="1" max="1" width="40.33203125" customWidth="1"/>
    <col min="2" max="2" width="35" customWidth="1"/>
    <col min="3" max="3" width="25.44140625" customWidth="1"/>
    <col min="4" max="4" width="31" customWidth="1"/>
    <col min="5" max="5" width="26.109375" customWidth="1"/>
    <col min="6" max="6" width="26.88671875" customWidth="1"/>
    <col min="7" max="7" width="21.88671875" customWidth="1"/>
    <col min="8" max="9" width="10.6640625" customWidth="1"/>
  </cols>
  <sheetData>
    <row r="1" spans="1:9" ht="14.25" customHeight="1" x14ac:dyDescent="0.3">
      <c r="A1" s="167" t="s">
        <v>3</v>
      </c>
      <c r="B1" s="168" t="s">
        <v>81</v>
      </c>
      <c r="C1" s="168" t="s">
        <v>566</v>
      </c>
      <c r="D1" s="168" t="s">
        <v>82</v>
      </c>
      <c r="E1" s="168" t="s">
        <v>567</v>
      </c>
      <c r="F1" s="168" t="s">
        <v>568</v>
      </c>
      <c r="G1" s="169" t="s">
        <v>569</v>
      </c>
      <c r="I1" s="25" t="s">
        <v>570</v>
      </c>
    </row>
    <row r="2" spans="1:9" ht="14.25" customHeight="1" x14ac:dyDescent="0.3">
      <c r="A2" s="170" t="s">
        <v>393</v>
      </c>
      <c r="B2" s="171">
        <v>5</v>
      </c>
      <c r="C2" s="171">
        <v>4.5</v>
      </c>
      <c r="D2" s="171">
        <v>20</v>
      </c>
      <c r="E2" s="171">
        <v>5.3</v>
      </c>
      <c r="F2" s="171">
        <v>12.5</v>
      </c>
      <c r="G2" s="172">
        <v>7.2</v>
      </c>
      <c r="I2" s="25" t="s">
        <v>571</v>
      </c>
    </row>
    <row r="3" spans="1:9" ht="14.25" customHeight="1" x14ac:dyDescent="0.3">
      <c r="A3" s="40" t="s">
        <v>409</v>
      </c>
      <c r="B3" s="175">
        <v>5</v>
      </c>
      <c r="C3" s="175">
        <v>4.5</v>
      </c>
      <c r="D3" s="175">
        <v>20</v>
      </c>
      <c r="E3" s="175">
        <v>5.3</v>
      </c>
      <c r="F3" s="175">
        <v>12.5</v>
      </c>
      <c r="G3" s="37">
        <v>7.2</v>
      </c>
    </row>
    <row r="4" spans="1:9" ht="14.25" customHeight="1" x14ac:dyDescent="0.3">
      <c r="A4" s="40" t="s">
        <v>138</v>
      </c>
      <c r="B4" s="175">
        <v>5</v>
      </c>
      <c r="C4" s="175">
        <v>4.5</v>
      </c>
      <c r="D4" s="175">
        <v>20</v>
      </c>
      <c r="E4" s="175">
        <v>5.3</v>
      </c>
      <c r="F4" s="175">
        <v>12.5</v>
      </c>
      <c r="G4" s="37">
        <v>7.2</v>
      </c>
    </row>
    <row r="5" spans="1:9" ht="14.25" customHeight="1" x14ac:dyDescent="0.3">
      <c r="A5" s="204" t="s">
        <v>572</v>
      </c>
      <c r="B5" s="186">
        <v>5</v>
      </c>
      <c r="C5" s="186">
        <v>4.5</v>
      </c>
      <c r="D5" s="186">
        <v>20</v>
      </c>
      <c r="E5" s="186">
        <v>5.3</v>
      </c>
      <c r="F5" s="186">
        <v>12.5</v>
      </c>
      <c r="G5" s="43">
        <v>7.2</v>
      </c>
    </row>
    <row r="6" spans="1:9" ht="14.25" customHeight="1" x14ac:dyDescent="0.3"/>
    <row r="7" spans="1:9" ht="14.25" customHeight="1" x14ac:dyDescent="0.3"/>
    <row r="8" spans="1:9" ht="14.25" customHeight="1" x14ac:dyDescent="0.3">
      <c r="A8" s="167" t="s">
        <v>573</v>
      </c>
      <c r="B8" s="169" t="s">
        <v>574</v>
      </c>
    </row>
    <row r="9" spans="1:9" ht="14.25" customHeight="1" x14ac:dyDescent="0.3">
      <c r="A9" s="170" t="s">
        <v>340</v>
      </c>
      <c r="B9" s="172">
        <v>1000</v>
      </c>
    </row>
    <row r="10" spans="1:9" ht="14.25" customHeight="1" x14ac:dyDescent="0.3">
      <c r="A10" s="40" t="s">
        <v>575</v>
      </c>
      <c r="B10" s="37">
        <v>9</v>
      </c>
    </row>
    <row r="11" spans="1:9" ht="14.25" customHeight="1" x14ac:dyDescent="0.3">
      <c r="A11" s="40" t="s">
        <v>576</v>
      </c>
      <c r="B11" s="37">
        <v>6</v>
      </c>
    </row>
    <row r="12" spans="1:9" ht="14.25" customHeight="1" x14ac:dyDescent="0.3">
      <c r="A12" s="40" t="s">
        <v>577</v>
      </c>
      <c r="B12" s="37" t="s">
        <v>401</v>
      </c>
    </row>
    <row r="13" spans="1:9" ht="14.25" customHeight="1" x14ac:dyDescent="0.3">
      <c r="A13" s="40" t="s">
        <v>578</v>
      </c>
      <c r="B13" s="37">
        <v>15</v>
      </c>
    </row>
    <row r="14" spans="1:9" ht="14.25" customHeight="1" x14ac:dyDescent="0.3">
      <c r="A14" s="40" t="s">
        <v>579</v>
      </c>
      <c r="B14" s="37">
        <v>30</v>
      </c>
    </row>
    <row r="15" spans="1:9" ht="14.25" customHeight="1" x14ac:dyDescent="0.3">
      <c r="A15" s="40" t="s">
        <v>580</v>
      </c>
      <c r="B15" s="37">
        <v>10</v>
      </c>
    </row>
    <row r="16" spans="1:9" ht="14.25" customHeight="1" x14ac:dyDescent="0.3">
      <c r="A16" s="40" t="s">
        <v>581</v>
      </c>
      <c r="B16" s="37">
        <v>100</v>
      </c>
      <c r="C16" s="25" t="s">
        <v>582</v>
      </c>
    </row>
    <row r="17" spans="1:4" ht="14.25" customHeight="1" x14ac:dyDescent="0.3">
      <c r="A17" s="40" t="s">
        <v>583</v>
      </c>
      <c r="B17" s="37">
        <v>18</v>
      </c>
    </row>
    <row r="18" spans="1:4" ht="14.25" customHeight="1" x14ac:dyDescent="0.3">
      <c r="A18" s="40" t="s">
        <v>584</v>
      </c>
      <c r="B18" s="37">
        <v>9</v>
      </c>
    </row>
    <row r="19" spans="1:4" ht="14.25" customHeight="1" x14ac:dyDescent="0.3">
      <c r="A19" s="40" t="s">
        <v>585</v>
      </c>
      <c r="B19" s="37">
        <v>20</v>
      </c>
    </row>
    <row r="20" spans="1:4" ht="14.25" customHeight="1" x14ac:dyDescent="0.3">
      <c r="A20" s="204" t="s">
        <v>586</v>
      </c>
      <c r="B20" s="43">
        <v>7</v>
      </c>
    </row>
    <row r="21" spans="1:4" ht="14.25" customHeight="1" x14ac:dyDescent="0.3"/>
    <row r="22" spans="1:4" ht="14.25" customHeight="1" x14ac:dyDescent="0.3"/>
    <row r="23" spans="1:4" ht="14.25" customHeight="1" x14ac:dyDescent="0.3">
      <c r="A23" s="167" t="s">
        <v>587</v>
      </c>
      <c r="B23" s="167" t="s">
        <v>574</v>
      </c>
      <c r="D23" s="25" t="s">
        <v>588</v>
      </c>
    </row>
    <row r="24" spans="1:4" ht="14.25" customHeight="1" x14ac:dyDescent="0.3">
      <c r="A24" s="170" t="s">
        <v>360</v>
      </c>
      <c r="B24" s="172" t="s">
        <v>589</v>
      </c>
    </row>
    <row r="25" spans="1:4" ht="14.25" customHeight="1" x14ac:dyDescent="0.3">
      <c r="A25" s="40" t="s">
        <v>590</v>
      </c>
      <c r="B25" s="37">
        <v>1.2</v>
      </c>
    </row>
    <row r="26" spans="1:4" ht="14.25" customHeight="1" x14ac:dyDescent="0.3">
      <c r="A26" s="40" t="s">
        <v>591</v>
      </c>
      <c r="B26" s="37">
        <v>0.8</v>
      </c>
    </row>
    <row r="27" spans="1:4" ht="14.25" customHeight="1" x14ac:dyDescent="0.3">
      <c r="A27" s="40" t="s">
        <v>592</v>
      </c>
      <c r="B27" s="37">
        <v>1.2</v>
      </c>
    </row>
    <row r="28" spans="1:4" ht="14.25" customHeight="1" x14ac:dyDescent="0.3">
      <c r="A28" s="40" t="s">
        <v>593</v>
      </c>
      <c r="B28" s="37">
        <v>25</v>
      </c>
    </row>
    <row r="29" spans="1:4" ht="14.25" customHeight="1" x14ac:dyDescent="0.3">
      <c r="A29" s="40" t="s">
        <v>594</v>
      </c>
      <c r="B29" s="37">
        <v>2</v>
      </c>
    </row>
    <row r="30" spans="1:4" ht="14.25" customHeight="1" x14ac:dyDescent="0.3">
      <c r="A30" s="182" t="s">
        <v>595</v>
      </c>
      <c r="B30" s="203">
        <v>9</v>
      </c>
    </row>
    <row r="31" spans="1:4" ht="14.25" customHeight="1" x14ac:dyDescent="0.3">
      <c r="A31" s="256" t="s">
        <v>596</v>
      </c>
      <c r="B31" s="257">
        <v>50</v>
      </c>
    </row>
    <row r="32" spans="1:4" ht="14.25" customHeight="1" x14ac:dyDescent="0.3">
      <c r="A32" s="258" t="s">
        <v>597</v>
      </c>
      <c r="B32" s="259">
        <v>1.8</v>
      </c>
    </row>
    <row r="33" spans="1:4" ht="14.25" customHeight="1" x14ac:dyDescent="0.3"/>
    <row r="34" spans="1:4" ht="14.25" customHeight="1" x14ac:dyDescent="0.3"/>
    <row r="35" spans="1:4" ht="14.25" customHeight="1" x14ac:dyDescent="0.3"/>
    <row r="36" spans="1:4" ht="14.25" customHeight="1" x14ac:dyDescent="0.3"/>
    <row r="37" spans="1:4" ht="14.25" customHeight="1" x14ac:dyDescent="0.3"/>
    <row r="38" spans="1:4" ht="14.25" customHeight="1" x14ac:dyDescent="0.3">
      <c r="A38" s="25" t="s">
        <v>598</v>
      </c>
    </row>
    <row r="39" spans="1:4" ht="14.25" customHeight="1" x14ac:dyDescent="0.3">
      <c r="A39" s="25" t="s">
        <v>599</v>
      </c>
      <c r="D39" s="25" t="s">
        <v>600</v>
      </c>
    </row>
    <row r="40" spans="1:4" ht="14.25" customHeight="1" x14ac:dyDescent="0.3">
      <c r="A40" s="25" t="s">
        <v>601</v>
      </c>
      <c r="D40" s="25" t="s">
        <v>602</v>
      </c>
    </row>
    <row r="41" spans="1:4" ht="14.25" customHeight="1" x14ac:dyDescent="0.3">
      <c r="A41" s="25" t="s">
        <v>603</v>
      </c>
      <c r="D41" s="25" t="s">
        <v>604</v>
      </c>
    </row>
    <row r="42" spans="1:4" ht="14.25" customHeight="1" x14ac:dyDescent="0.3">
      <c r="A42" s="25" t="s">
        <v>605</v>
      </c>
      <c r="D42" s="25" t="s">
        <v>606</v>
      </c>
    </row>
    <row r="43" spans="1:4" ht="14.25" customHeight="1" x14ac:dyDescent="0.3">
      <c r="A43" s="25" t="s">
        <v>607</v>
      </c>
      <c r="D43" s="25" t="s">
        <v>608</v>
      </c>
    </row>
    <row r="44" spans="1:4" ht="14.25" customHeight="1" x14ac:dyDescent="0.3">
      <c r="A44" s="25" t="s">
        <v>609</v>
      </c>
      <c r="D44" s="25" t="s">
        <v>610</v>
      </c>
    </row>
    <row r="45" spans="1:4" ht="14.25" customHeight="1" x14ac:dyDescent="0.3">
      <c r="A45" s="25" t="s">
        <v>611</v>
      </c>
    </row>
    <row r="46" spans="1:4" ht="14.25" customHeight="1" x14ac:dyDescent="0.3">
      <c r="A46" s="25" t="s">
        <v>612</v>
      </c>
    </row>
    <row r="47" spans="1:4" ht="14.25" customHeight="1" x14ac:dyDescent="0.3"/>
    <row r="48" spans="1:4" ht="14.25" customHeight="1" x14ac:dyDescent="0.3">
      <c r="A48" s="25" t="s">
        <v>613</v>
      </c>
      <c r="D48" s="25" t="s">
        <v>614</v>
      </c>
    </row>
    <row r="49" spans="1:4" ht="14.25" customHeight="1" x14ac:dyDescent="0.3">
      <c r="A49" s="25" t="s">
        <v>615</v>
      </c>
      <c r="D49" s="25" t="s">
        <v>616</v>
      </c>
    </row>
    <row r="50" spans="1:4" ht="14.25" customHeight="1" x14ac:dyDescent="0.3">
      <c r="A50" s="25" t="s">
        <v>617</v>
      </c>
      <c r="D50" s="25" t="s">
        <v>618</v>
      </c>
    </row>
    <row r="51" spans="1:4" ht="14.25" customHeight="1" x14ac:dyDescent="0.3">
      <c r="A51" s="25" t="s">
        <v>619</v>
      </c>
      <c r="D51" s="25" t="s">
        <v>620</v>
      </c>
    </row>
    <row r="52" spans="1:4" ht="14.25" customHeight="1" x14ac:dyDescent="0.3">
      <c r="A52" s="25" t="s">
        <v>621</v>
      </c>
      <c r="D52" s="25" t="s">
        <v>622</v>
      </c>
    </row>
    <row r="53" spans="1:4" ht="14.25" customHeight="1" x14ac:dyDescent="0.3">
      <c r="A53" s="25" t="s">
        <v>623</v>
      </c>
      <c r="D53" s="25" t="s">
        <v>624</v>
      </c>
    </row>
    <row r="54" spans="1:4" ht="14.25" customHeight="1" x14ac:dyDescent="0.3">
      <c r="D54" s="25" t="s">
        <v>625</v>
      </c>
    </row>
    <row r="55" spans="1:4" ht="14.25" customHeight="1" x14ac:dyDescent="0.3">
      <c r="D55" s="25" t="s">
        <v>626</v>
      </c>
    </row>
    <row r="56" spans="1:4" ht="14.25" customHeight="1" x14ac:dyDescent="0.3">
      <c r="D56" s="25" t="s">
        <v>627</v>
      </c>
    </row>
    <row r="57" spans="1:4" ht="14.25" customHeight="1" x14ac:dyDescent="0.3"/>
    <row r="58" spans="1:4" ht="14.25" customHeight="1" x14ac:dyDescent="0.3"/>
    <row r="59" spans="1:4" ht="14.25" customHeight="1" x14ac:dyDescent="0.3"/>
    <row r="60" spans="1:4" ht="14.25" customHeight="1" x14ac:dyDescent="0.3"/>
    <row r="61" spans="1:4" ht="14.25" customHeight="1" x14ac:dyDescent="0.3"/>
    <row r="62" spans="1:4" ht="14.25" customHeight="1" x14ac:dyDescent="0.3"/>
    <row r="63" spans="1:4" ht="14.25" customHeight="1" x14ac:dyDescent="0.3"/>
    <row r="64" spans="1: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Hoja23"/>
  <dimension ref="A1:G1000"/>
  <sheetViews>
    <sheetView workbookViewId="0"/>
  </sheetViews>
  <sheetFormatPr baseColWidth="10" defaultColWidth="14.44140625" defaultRowHeight="15" customHeight="1" x14ac:dyDescent="0.3"/>
  <cols>
    <col min="1" max="1" width="10.6640625" customWidth="1"/>
    <col min="2" max="2" width="17.44140625" customWidth="1"/>
    <col min="3" max="3" width="16.44140625" customWidth="1"/>
    <col min="4" max="4" width="13.88671875" customWidth="1"/>
    <col min="5" max="5" width="23" customWidth="1"/>
    <col min="6" max="6" width="10.6640625" customWidth="1"/>
    <col min="7" max="7" width="67.109375" customWidth="1"/>
  </cols>
  <sheetData>
    <row r="1" spans="1:5" ht="14.25" customHeight="1" x14ac:dyDescent="0.3">
      <c r="A1" s="228" t="s">
        <v>628</v>
      </c>
    </row>
    <row r="2" spans="1:5" ht="14.25" customHeight="1" x14ac:dyDescent="0.3">
      <c r="A2" s="200" t="s">
        <v>385</v>
      </c>
      <c r="B2" s="201" t="s">
        <v>386</v>
      </c>
      <c r="C2" s="201" t="s">
        <v>388</v>
      </c>
      <c r="D2" s="201" t="s">
        <v>387</v>
      </c>
      <c r="E2" s="202" t="s">
        <v>445</v>
      </c>
    </row>
    <row r="3" spans="1:5" ht="14.25" customHeight="1" x14ac:dyDescent="0.3">
      <c r="A3" s="184">
        <v>1</v>
      </c>
      <c r="B3" s="185" t="s">
        <v>393</v>
      </c>
      <c r="C3" s="185" t="s">
        <v>422</v>
      </c>
      <c r="D3" s="185" t="s">
        <v>394</v>
      </c>
      <c r="E3" s="33" t="s">
        <v>629</v>
      </c>
    </row>
    <row r="4" spans="1:5" ht="14.25" customHeight="1" x14ac:dyDescent="0.3">
      <c r="A4" s="40">
        <v>2</v>
      </c>
      <c r="B4" s="175" t="s">
        <v>393</v>
      </c>
      <c r="C4" s="175" t="s">
        <v>422</v>
      </c>
      <c r="D4" s="175" t="s">
        <v>154</v>
      </c>
      <c r="E4" s="37" t="s">
        <v>630</v>
      </c>
    </row>
    <row r="5" spans="1:5" ht="14.25" customHeight="1" x14ac:dyDescent="0.3">
      <c r="A5" s="40">
        <v>3</v>
      </c>
      <c r="B5" s="175" t="s">
        <v>393</v>
      </c>
      <c r="C5" s="175" t="s">
        <v>422</v>
      </c>
      <c r="D5" s="175" t="s">
        <v>398</v>
      </c>
      <c r="E5" s="181" t="s">
        <v>405</v>
      </c>
    </row>
    <row r="6" spans="1:5" ht="14.25" customHeight="1" x14ac:dyDescent="0.3">
      <c r="A6" s="40">
        <v>4</v>
      </c>
      <c r="B6" s="175" t="s">
        <v>393</v>
      </c>
      <c r="C6" s="175" t="s">
        <v>422</v>
      </c>
      <c r="D6" s="175" t="s">
        <v>402</v>
      </c>
      <c r="E6" s="181" t="s">
        <v>405</v>
      </c>
    </row>
    <row r="7" spans="1:5" ht="14.25" customHeight="1" x14ac:dyDescent="0.3">
      <c r="A7" s="40">
        <v>5</v>
      </c>
      <c r="B7" s="175" t="s">
        <v>393</v>
      </c>
      <c r="C7" s="175" t="s">
        <v>422</v>
      </c>
      <c r="D7" s="175" t="s">
        <v>343</v>
      </c>
      <c r="E7" s="181" t="s">
        <v>405</v>
      </c>
    </row>
    <row r="8" spans="1:5" ht="14.25" customHeight="1" x14ac:dyDescent="0.3">
      <c r="A8" s="40">
        <v>6</v>
      </c>
      <c r="B8" s="175" t="s">
        <v>393</v>
      </c>
      <c r="C8" s="175" t="s">
        <v>422</v>
      </c>
      <c r="D8" s="175" t="s">
        <v>160</v>
      </c>
      <c r="E8" s="181" t="s">
        <v>405</v>
      </c>
    </row>
    <row r="9" spans="1:5" ht="14.25" customHeight="1" x14ac:dyDescent="0.3">
      <c r="A9" s="40">
        <v>7</v>
      </c>
      <c r="B9" s="175" t="s">
        <v>393</v>
      </c>
      <c r="C9" s="175" t="s">
        <v>422</v>
      </c>
      <c r="D9" s="175" t="s">
        <v>407</v>
      </c>
      <c r="E9" s="181" t="s">
        <v>405</v>
      </c>
    </row>
    <row r="10" spans="1:5" ht="14.25" customHeight="1" x14ac:dyDescent="0.3">
      <c r="A10" s="40">
        <v>8</v>
      </c>
      <c r="B10" s="175" t="s">
        <v>393</v>
      </c>
      <c r="C10" s="175" t="s">
        <v>422</v>
      </c>
      <c r="D10" s="175" t="s">
        <v>408</v>
      </c>
      <c r="E10" s="181" t="s">
        <v>405</v>
      </c>
    </row>
    <row r="11" spans="1:5" ht="14.25" customHeight="1" x14ac:dyDescent="0.3">
      <c r="A11" s="40">
        <v>9</v>
      </c>
      <c r="B11" s="175" t="s">
        <v>409</v>
      </c>
      <c r="C11" s="175" t="s">
        <v>422</v>
      </c>
      <c r="D11" s="175" t="s">
        <v>394</v>
      </c>
      <c r="E11" s="37" t="s">
        <v>629</v>
      </c>
    </row>
    <row r="12" spans="1:5" ht="14.25" customHeight="1" x14ac:dyDescent="0.3">
      <c r="A12" s="40">
        <v>10</v>
      </c>
      <c r="B12" s="175" t="s">
        <v>409</v>
      </c>
      <c r="C12" s="175" t="s">
        <v>422</v>
      </c>
      <c r="D12" s="175" t="s">
        <v>154</v>
      </c>
      <c r="E12" s="37" t="s">
        <v>629</v>
      </c>
    </row>
    <row r="13" spans="1:5" ht="14.25" customHeight="1" x14ac:dyDescent="0.3">
      <c r="A13" s="40">
        <v>11</v>
      </c>
      <c r="B13" s="175" t="s">
        <v>409</v>
      </c>
      <c r="C13" s="175" t="s">
        <v>422</v>
      </c>
      <c r="D13" s="175" t="s">
        <v>398</v>
      </c>
      <c r="E13" s="37" t="s">
        <v>631</v>
      </c>
    </row>
    <row r="14" spans="1:5" ht="14.25" customHeight="1" x14ac:dyDescent="0.3">
      <c r="A14" s="40">
        <v>12</v>
      </c>
      <c r="B14" s="175" t="s">
        <v>409</v>
      </c>
      <c r="C14" s="175" t="s">
        <v>422</v>
      </c>
      <c r="D14" s="175" t="s">
        <v>402</v>
      </c>
      <c r="E14" s="37" t="s">
        <v>631</v>
      </c>
    </row>
    <row r="15" spans="1:5" ht="14.25" customHeight="1" x14ac:dyDescent="0.3">
      <c r="A15" s="40">
        <v>13</v>
      </c>
      <c r="B15" s="175" t="s">
        <v>409</v>
      </c>
      <c r="C15" s="175" t="s">
        <v>422</v>
      </c>
      <c r="D15" s="175" t="s">
        <v>343</v>
      </c>
      <c r="E15" s="37" t="s">
        <v>631</v>
      </c>
    </row>
    <row r="16" spans="1:5" ht="14.25" customHeight="1" x14ac:dyDescent="0.3">
      <c r="A16" s="40">
        <v>14</v>
      </c>
      <c r="B16" s="175" t="s">
        <v>409</v>
      </c>
      <c r="C16" s="175" t="s">
        <v>422</v>
      </c>
      <c r="D16" s="175" t="s">
        <v>160</v>
      </c>
      <c r="E16" s="181" t="s">
        <v>405</v>
      </c>
    </row>
    <row r="17" spans="1:5" ht="14.25" customHeight="1" x14ac:dyDescent="0.3">
      <c r="A17" s="40">
        <v>15</v>
      </c>
      <c r="B17" s="175" t="s">
        <v>409</v>
      </c>
      <c r="C17" s="175" t="s">
        <v>422</v>
      </c>
      <c r="D17" s="175" t="s">
        <v>407</v>
      </c>
      <c r="E17" s="181" t="s">
        <v>405</v>
      </c>
    </row>
    <row r="18" spans="1:5" ht="14.25" customHeight="1" x14ac:dyDescent="0.3">
      <c r="A18" s="40">
        <v>16</v>
      </c>
      <c r="B18" s="175" t="s">
        <v>409</v>
      </c>
      <c r="C18" s="175" t="s">
        <v>422</v>
      </c>
      <c r="D18" s="175" t="s">
        <v>408</v>
      </c>
      <c r="E18" s="181" t="s">
        <v>405</v>
      </c>
    </row>
    <row r="19" spans="1:5" ht="14.25" customHeight="1" x14ac:dyDescent="0.3">
      <c r="A19" s="40">
        <v>17</v>
      </c>
      <c r="B19" s="175" t="s">
        <v>138</v>
      </c>
      <c r="C19" s="175" t="s">
        <v>422</v>
      </c>
      <c r="D19" s="175" t="s">
        <v>394</v>
      </c>
      <c r="E19" s="37" t="s">
        <v>149</v>
      </c>
    </row>
    <row r="20" spans="1:5" ht="14.25" customHeight="1" x14ac:dyDescent="0.3">
      <c r="A20" s="40">
        <v>18</v>
      </c>
      <c r="B20" s="175" t="s">
        <v>138</v>
      </c>
      <c r="C20" s="175" t="s">
        <v>422</v>
      </c>
      <c r="D20" s="175" t="s">
        <v>154</v>
      </c>
      <c r="E20" s="37" t="s">
        <v>149</v>
      </c>
    </row>
    <row r="21" spans="1:5" ht="14.25" customHeight="1" x14ac:dyDescent="0.3">
      <c r="A21" s="40">
        <v>19</v>
      </c>
      <c r="B21" s="175" t="s">
        <v>138</v>
      </c>
      <c r="C21" s="175" t="s">
        <v>422</v>
      </c>
      <c r="D21" s="175" t="s">
        <v>398</v>
      </c>
      <c r="E21" s="37" t="s">
        <v>629</v>
      </c>
    </row>
    <row r="22" spans="1:5" ht="14.25" customHeight="1" x14ac:dyDescent="0.3">
      <c r="A22" s="40">
        <v>20</v>
      </c>
      <c r="B22" s="175" t="s">
        <v>138</v>
      </c>
      <c r="C22" s="175" t="s">
        <v>422</v>
      </c>
      <c r="D22" s="175" t="s">
        <v>402</v>
      </c>
      <c r="E22" s="37" t="s">
        <v>629</v>
      </c>
    </row>
    <row r="23" spans="1:5" ht="14.25" customHeight="1" x14ac:dyDescent="0.3">
      <c r="A23" s="40">
        <v>21</v>
      </c>
      <c r="B23" s="175" t="s">
        <v>138</v>
      </c>
      <c r="C23" s="175" t="s">
        <v>422</v>
      </c>
      <c r="D23" s="175" t="s">
        <v>343</v>
      </c>
      <c r="E23" s="37" t="s">
        <v>629</v>
      </c>
    </row>
    <row r="24" spans="1:5" ht="14.25" customHeight="1" x14ac:dyDescent="0.3">
      <c r="A24" s="40">
        <v>22</v>
      </c>
      <c r="B24" s="175" t="s">
        <v>138</v>
      </c>
      <c r="C24" s="175" t="s">
        <v>422</v>
      </c>
      <c r="D24" s="175" t="s">
        <v>160</v>
      </c>
      <c r="E24" s="37" t="s">
        <v>631</v>
      </c>
    </row>
    <row r="25" spans="1:5" ht="14.25" customHeight="1" x14ac:dyDescent="0.3">
      <c r="A25" s="40">
        <v>23</v>
      </c>
      <c r="B25" s="175" t="s">
        <v>138</v>
      </c>
      <c r="C25" s="175" t="s">
        <v>422</v>
      </c>
      <c r="D25" s="175" t="s">
        <v>407</v>
      </c>
      <c r="E25" s="37" t="s">
        <v>631</v>
      </c>
    </row>
    <row r="26" spans="1:5" ht="14.25" customHeight="1" x14ac:dyDescent="0.3">
      <c r="A26" s="40">
        <v>24</v>
      </c>
      <c r="B26" s="175" t="s">
        <v>138</v>
      </c>
      <c r="C26" s="175" t="s">
        <v>422</v>
      </c>
      <c r="D26" s="175" t="s">
        <v>408</v>
      </c>
      <c r="E26" s="37" t="s">
        <v>631</v>
      </c>
    </row>
    <row r="27" spans="1:5" ht="14.25" customHeight="1" x14ac:dyDescent="0.3">
      <c r="A27" s="40">
        <v>25</v>
      </c>
      <c r="B27" s="175" t="s">
        <v>155</v>
      </c>
      <c r="C27" s="175" t="s">
        <v>422</v>
      </c>
      <c r="D27" s="175" t="s">
        <v>394</v>
      </c>
      <c r="E27" s="37" t="s">
        <v>159</v>
      </c>
    </row>
    <row r="28" spans="1:5" ht="14.25" customHeight="1" x14ac:dyDescent="0.3">
      <c r="A28" s="40">
        <v>26</v>
      </c>
      <c r="B28" s="175" t="s">
        <v>155</v>
      </c>
      <c r="C28" s="175" t="s">
        <v>422</v>
      </c>
      <c r="D28" s="175" t="s">
        <v>154</v>
      </c>
      <c r="E28" s="37" t="s">
        <v>159</v>
      </c>
    </row>
    <row r="29" spans="1:5" ht="14.25" customHeight="1" x14ac:dyDescent="0.3">
      <c r="A29" s="40">
        <v>27</v>
      </c>
      <c r="B29" s="175" t="s">
        <v>155</v>
      </c>
      <c r="C29" s="175" t="s">
        <v>422</v>
      </c>
      <c r="D29" s="175" t="s">
        <v>398</v>
      </c>
      <c r="E29" s="37" t="s">
        <v>149</v>
      </c>
    </row>
    <row r="30" spans="1:5" ht="14.25" customHeight="1" x14ac:dyDescent="0.3">
      <c r="A30" s="40">
        <v>28</v>
      </c>
      <c r="B30" s="175" t="s">
        <v>155</v>
      </c>
      <c r="C30" s="175" t="s">
        <v>422</v>
      </c>
      <c r="D30" s="175" t="s">
        <v>402</v>
      </c>
      <c r="E30" s="37" t="s">
        <v>149</v>
      </c>
    </row>
    <row r="31" spans="1:5" ht="14.25" customHeight="1" x14ac:dyDescent="0.3">
      <c r="A31" s="40">
        <v>29</v>
      </c>
      <c r="B31" s="175" t="s">
        <v>155</v>
      </c>
      <c r="C31" s="175" t="s">
        <v>422</v>
      </c>
      <c r="D31" s="175" t="s">
        <v>343</v>
      </c>
      <c r="E31" s="37" t="s">
        <v>149</v>
      </c>
    </row>
    <row r="32" spans="1:5" ht="14.25" customHeight="1" x14ac:dyDescent="0.3">
      <c r="A32" s="40">
        <v>30</v>
      </c>
      <c r="B32" s="175" t="s">
        <v>155</v>
      </c>
      <c r="C32" s="175" t="s">
        <v>422</v>
      </c>
      <c r="D32" s="175" t="s">
        <v>160</v>
      </c>
      <c r="E32" s="37" t="s">
        <v>629</v>
      </c>
    </row>
    <row r="33" spans="1:5" ht="14.25" customHeight="1" x14ac:dyDescent="0.3">
      <c r="A33" s="40">
        <v>31</v>
      </c>
      <c r="B33" s="175" t="s">
        <v>155</v>
      </c>
      <c r="C33" s="175" t="s">
        <v>422</v>
      </c>
      <c r="D33" s="175" t="s">
        <v>407</v>
      </c>
      <c r="E33" s="37" t="s">
        <v>629</v>
      </c>
    </row>
    <row r="34" spans="1:5" ht="14.25" customHeight="1" x14ac:dyDescent="0.3">
      <c r="A34" s="40">
        <v>32</v>
      </c>
      <c r="B34" s="175" t="s">
        <v>155</v>
      </c>
      <c r="C34" s="175" t="s">
        <v>422</v>
      </c>
      <c r="D34" s="175" t="s">
        <v>408</v>
      </c>
      <c r="E34" s="37" t="s">
        <v>629</v>
      </c>
    </row>
    <row r="35" spans="1:5" ht="14.25" customHeight="1" x14ac:dyDescent="0.3">
      <c r="A35" s="40">
        <v>33</v>
      </c>
      <c r="B35" s="175" t="s">
        <v>421</v>
      </c>
      <c r="C35" s="175" t="s">
        <v>422</v>
      </c>
      <c r="D35" s="175" t="s">
        <v>394</v>
      </c>
      <c r="E35" s="37" t="s">
        <v>399</v>
      </c>
    </row>
    <row r="36" spans="1:5" ht="14.25" customHeight="1" x14ac:dyDescent="0.3">
      <c r="A36" s="40">
        <v>34</v>
      </c>
      <c r="B36" s="175" t="s">
        <v>421</v>
      </c>
      <c r="C36" s="175" t="s">
        <v>422</v>
      </c>
      <c r="D36" s="175" t="s">
        <v>154</v>
      </c>
      <c r="E36" s="37" t="s">
        <v>399</v>
      </c>
    </row>
    <row r="37" spans="1:5" ht="14.25" customHeight="1" x14ac:dyDescent="0.3">
      <c r="A37" s="40">
        <v>35</v>
      </c>
      <c r="B37" s="175" t="s">
        <v>421</v>
      </c>
      <c r="C37" s="175" t="s">
        <v>422</v>
      </c>
      <c r="D37" s="175" t="s">
        <v>398</v>
      </c>
      <c r="E37" s="37" t="s">
        <v>399</v>
      </c>
    </row>
    <row r="38" spans="1:5" ht="14.25" customHeight="1" x14ac:dyDescent="0.3">
      <c r="A38" s="40">
        <v>36</v>
      </c>
      <c r="B38" s="175" t="s">
        <v>421</v>
      </c>
      <c r="C38" s="175" t="s">
        <v>422</v>
      </c>
      <c r="D38" s="175" t="s">
        <v>402</v>
      </c>
      <c r="E38" s="37" t="s">
        <v>399</v>
      </c>
    </row>
    <row r="39" spans="1:5" ht="14.25" customHeight="1" x14ac:dyDescent="0.3">
      <c r="A39" s="40">
        <v>37</v>
      </c>
      <c r="B39" s="175" t="s">
        <v>421</v>
      </c>
      <c r="C39" s="175" t="s">
        <v>422</v>
      </c>
      <c r="D39" s="175" t="s">
        <v>343</v>
      </c>
      <c r="E39" s="37" t="s">
        <v>399</v>
      </c>
    </row>
    <row r="40" spans="1:5" ht="14.25" customHeight="1" x14ac:dyDescent="0.3">
      <c r="A40" s="40">
        <v>38</v>
      </c>
      <c r="B40" s="175" t="s">
        <v>421</v>
      </c>
      <c r="C40" s="175" t="s">
        <v>422</v>
      </c>
      <c r="D40" s="175" t="s">
        <v>160</v>
      </c>
      <c r="E40" s="37" t="s">
        <v>399</v>
      </c>
    </row>
    <row r="41" spans="1:5" ht="14.25" customHeight="1" x14ac:dyDescent="0.3">
      <c r="A41" s="40">
        <v>39</v>
      </c>
      <c r="B41" s="175" t="s">
        <v>421</v>
      </c>
      <c r="C41" s="175" t="s">
        <v>422</v>
      </c>
      <c r="D41" s="175" t="s">
        <v>407</v>
      </c>
      <c r="E41" s="37" t="s">
        <v>399</v>
      </c>
    </row>
    <row r="42" spans="1:5" ht="14.25" customHeight="1" x14ac:dyDescent="0.3">
      <c r="A42" s="182">
        <v>40</v>
      </c>
      <c r="B42" s="183" t="s">
        <v>421</v>
      </c>
      <c r="C42" s="183" t="s">
        <v>422</v>
      </c>
      <c r="D42" s="183" t="s">
        <v>408</v>
      </c>
      <c r="E42" s="203" t="s">
        <v>399</v>
      </c>
    </row>
    <row r="43" spans="1:5" ht="14.25" customHeight="1" x14ac:dyDescent="0.3">
      <c r="A43" s="184">
        <v>41</v>
      </c>
      <c r="B43" s="185" t="s">
        <v>393</v>
      </c>
      <c r="C43" s="185" t="s">
        <v>139</v>
      </c>
      <c r="D43" s="185" t="s">
        <v>394</v>
      </c>
      <c r="E43" s="33" t="s">
        <v>149</v>
      </c>
    </row>
    <row r="44" spans="1:5" ht="14.25" customHeight="1" x14ac:dyDescent="0.3">
      <c r="A44" s="40">
        <v>42</v>
      </c>
      <c r="B44" s="175" t="s">
        <v>393</v>
      </c>
      <c r="C44" s="175" t="s">
        <v>139</v>
      </c>
      <c r="D44" s="175" t="s">
        <v>154</v>
      </c>
      <c r="E44" s="37" t="s">
        <v>149</v>
      </c>
    </row>
    <row r="45" spans="1:5" ht="14.25" customHeight="1" x14ac:dyDescent="0.3">
      <c r="A45" s="40">
        <v>43</v>
      </c>
      <c r="B45" s="175" t="s">
        <v>393</v>
      </c>
      <c r="C45" s="175" t="s">
        <v>139</v>
      </c>
      <c r="D45" s="175" t="s">
        <v>398</v>
      </c>
      <c r="E45" s="37" t="s">
        <v>629</v>
      </c>
    </row>
    <row r="46" spans="1:5" ht="14.25" customHeight="1" x14ac:dyDescent="0.3">
      <c r="A46" s="40">
        <v>44</v>
      </c>
      <c r="B46" s="175" t="s">
        <v>393</v>
      </c>
      <c r="C46" s="175" t="s">
        <v>139</v>
      </c>
      <c r="D46" s="175" t="s">
        <v>402</v>
      </c>
      <c r="E46" s="37" t="s">
        <v>629</v>
      </c>
    </row>
    <row r="47" spans="1:5" ht="14.25" customHeight="1" x14ac:dyDescent="0.3">
      <c r="A47" s="40">
        <v>45</v>
      </c>
      <c r="B47" s="175" t="s">
        <v>393</v>
      </c>
      <c r="C47" s="175" t="s">
        <v>139</v>
      </c>
      <c r="D47" s="175" t="s">
        <v>343</v>
      </c>
      <c r="E47" s="37" t="s">
        <v>629</v>
      </c>
    </row>
    <row r="48" spans="1:5" ht="14.25" customHeight="1" x14ac:dyDescent="0.3">
      <c r="A48" s="40">
        <v>46</v>
      </c>
      <c r="B48" s="175" t="s">
        <v>393</v>
      </c>
      <c r="C48" s="175" t="s">
        <v>139</v>
      </c>
      <c r="D48" s="175" t="s">
        <v>160</v>
      </c>
      <c r="E48" s="181" t="s">
        <v>405</v>
      </c>
    </row>
    <row r="49" spans="1:5" ht="14.25" customHeight="1" x14ac:dyDescent="0.3">
      <c r="A49" s="40">
        <v>47</v>
      </c>
      <c r="B49" s="175" t="s">
        <v>393</v>
      </c>
      <c r="C49" s="175" t="s">
        <v>139</v>
      </c>
      <c r="D49" s="175" t="s">
        <v>407</v>
      </c>
      <c r="E49" s="181" t="s">
        <v>405</v>
      </c>
    </row>
    <row r="50" spans="1:5" ht="14.25" customHeight="1" x14ac:dyDescent="0.3">
      <c r="A50" s="40">
        <v>48</v>
      </c>
      <c r="B50" s="175" t="s">
        <v>393</v>
      </c>
      <c r="C50" s="175" t="s">
        <v>139</v>
      </c>
      <c r="D50" s="175" t="s">
        <v>408</v>
      </c>
      <c r="E50" s="181" t="s">
        <v>405</v>
      </c>
    </row>
    <row r="51" spans="1:5" ht="14.25" customHeight="1" x14ac:dyDescent="0.3">
      <c r="A51" s="40">
        <v>49</v>
      </c>
      <c r="B51" s="175" t="s">
        <v>409</v>
      </c>
      <c r="C51" s="175" t="s">
        <v>139</v>
      </c>
      <c r="D51" s="175" t="s">
        <v>394</v>
      </c>
      <c r="E51" s="37" t="s">
        <v>149</v>
      </c>
    </row>
    <row r="52" spans="1:5" ht="14.25" customHeight="1" x14ac:dyDescent="0.3">
      <c r="A52" s="40">
        <v>50</v>
      </c>
      <c r="B52" s="175" t="s">
        <v>409</v>
      </c>
      <c r="C52" s="175" t="s">
        <v>139</v>
      </c>
      <c r="D52" s="175" t="s">
        <v>154</v>
      </c>
      <c r="E52" s="37" t="s">
        <v>149</v>
      </c>
    </row>
    <row r="53" spans="1:5" ht="14.25" customHeight="1" x14ac:dyDescent="0.3">
      <c r="A53" s="40">
        <v>51</v>
      </c>
      <c r="B53" s="175" t="s">
        <v>409</v>
      </c>
      <c r="C53" s="175" t="s">
        <v>139</v>
      </c>
      <c r="D53" s="175" t="s">
        <v>398</v>
      </c>
      <c r="E53" s="37" t="s">
        <v>629</v>
      </c>
    </row>
    <row r="54" spans="1:5" ht="14.25" customHeight="1" x14ac:dyDescent="0.3">
      <c r="A54" s="40">
        <v>52</v>
      </c>
      <c r="B54" s="175" t="s">
        <v>409</v>
      </c>
      <c r="C54" s="175" t="s">
        <v>139</v>
      </c>
      <c r="D54" s="175" t="s">
        <v>402</v>
      </c>
      <c r="E54" s="37" t="s">
        <v>629</v>
      </c>
    </row>
    <row r="55" spans="1:5" ht="14.25" customHeight="1" x14ac:dyDescent="0.3">
      <c r="A55" s="40">
        <v>53</v>
      </c>
      <c r="B55" s="175" t="s">
        <v>409</v>
      </c>
      <c r="C55" s="175" t="s">
        <v>139</v>
      </c>
      <c r="D55" s="175" t="s">
        <v>343</v>
      </c>
      <c r="E55" s="37" t="s">
        <v>629</v>
      </c>
    </row>
    <row r="56" spans="1:5" ht="14.25" customHeight="1" x14ac:dyDescent="0.3">
      <c r="A56" s="40">
        <v>54</v>
      </c>
      <c r="B56" s="175" t="s">
        <v>409</v>
      </c>
      <c r="C56" s="175" t="s">
        <v>139</v>
      </c>
      <c r="D56" s="175" t="s">
        <v>160</v>
      </c>
      <c r="E56" s="37" t="s">
        <v>631</v>
      </c>
    </row>
    <row r="57" spans="1:5" ht="14.25" customHeight="1" x14ac:dyDescent="0.3">
      <c r="A57" s="40">
        <v>55</v>
      </c>
      <c r="B57" s="175" t="s">
        <v>409</v>
      </c>
      <c r="C57" s="175" t="s">
        <v>139</v>
      </c>
      <c r="D57" s="175" t="s">
        <v>407</v>
      </c>
      <c r="E57" s="37" t="s">
        <v>631</v>
      </c>
    </row>
    <row r="58" spans="1:5" ht="14.25" customHeight="1" x14ac:dyDescent="0.3">
      <c r="A58" s="40">
        <v>56</v>
      </c>
      <c r="B58" s="175" t="s">
        <v>409</v>
      </c>
      <c r="C58" s="175" t="s">
        <v>139</v>
      </c>
      <c r="D58" s="175" t="s">
        <v>408</v>
      </c>
      <c r="E58" s="37" t="s">
        <v>631</v>
      </c>
    </row>
    <row r="59" spans="1:5" ht="14.25" customHeight="1" x14ac:dyDescent="0.3">
      <c r="A59" s="40">
        <v>57</v>
      </c>
      <c r="B59" s="175" t="s">
        <v>138</v>
      </c>
      <c r="C59" s="175" t="s">
        <v>139</v>
      </c>
      <c r="D59" s="175" t="s">
        <v>394</v>
      </c>
      <c r="E59" s="37" t="s">
        <v>159</v>
      </c>
    </row>
    <row r="60" spans="1:5" ht="14.25" customHeight="1" x14ac:dyDescent="0.3">
      <c r="A60" s="40">
        <v>58</v>
      </c>
      <c r="B60" s="175" t="s">
        <v>138</v>
      </c>
      <c r="C60" s="175" t="s">
        <v>139</v>
      </c>
      <c r="D60" s="175" t="s">
        <v>154</v>
      </c>
      <c r="E60" s="37" t="s">
        <v>159</v>
      </c>
    </row>
    <row r="61" spans="1:5" ht="14.25" customHeight="1" x14ac:dyDescent="0.3">
      <c r="A61" s="40">
        <v>59</v>
      </c>
      <c r="B61" s="175" t="s">
        <v>138</v>
      </c>
      <c r="C61" s="175" t="s">
        <v>139</v>
      </c>
      <c r="D61" s="175" t="s">
        <v>398</v>
      </c>
      <c r="E61" s="37" t="s">
        <v>149</v>
      </c>
    </row>
    <row r="62" spans="1:5" ht="14.25" customHeight="1" x14ac:dyDescent="0.3">
      <c r="A62" s="40">
        <v>60</v>
      </c>
      <c r="B62" s="175" t="s">
        <v>138</v>
      </c>
      <c r="C62" s="175" t="s">
        <v>139</v>
      </c>
      <c r="D62" s="175" t="s">
        <v>402</v>
      </c>
      <c r="E62" s="37" t="s">
        <v>149</v>
      </c>
    </row>
    <row r="63" spans="1:5" ht="14.25" customHeight="1" x14ac:dyDescent="0.3">
      <c r="A63" s="40">
        <v>61</v>
      </c>
      <c r="B63" s="175" t="s">
        <v>138</v>
      </c>
      <c r="C63" s="175" t="s">
        <v>139</v>
      </c>
      <c r="D63" s="175" t="s">
        <v>343</v>
      </c>
      <c r="E63" s="37" t="s">
        <v>149</v>
      </c>
    </row>
    <row r="64" spans="1:5" ht="14.25" customHeight="1" x14ac:dyDescent="0.3">
      <c r="A64" s="40">
        <v>62</v>
      </c>
      <c r="B64" s="175" t="s">
        <v>138</v>
      </c>
      <c r="C64" s="175" t="s">
        <v>139</v>
      </c>
      <c r="D64" s="175" t="s">
        <v>160</v>
      </c>
      <c r="E64" s="37" t="s">
        <v>629</v>
      </c>
    </row>
    <row r="65" spans="1:5" ht="14.25" customHeight="1" x14ac:dyDescent="0.3">
      <c r="A65" s="40">
        <v>63</v>
      </c>
      <c r="B65" s="175" t="s">
        <v>138</v>
      </c>
      <c r="C65" s="175" t="s">
        <v>139</v>
      </c>
      <c r="D65" s="175" t="s">
        <v>407</v>
      </c>
      <c r="E65" s="37" t="s">
        <v>629</v>
      </c>
    </row>
    <row r="66" spans="1:5" ht="14.25" customHeight="1" x14ac:dyDescent="0.3">
      <c r="A66" s="40">
        <v>64</v>
      </c>
      <c r="B66" s="175" t="s">
        <v>138</v>
      </c>
      <c r="C66" s="175" t="s">
        <v>139</v>
      </c>
      <c r="D66" s="175" t="s">
        <v>408</v>
      </c>
      <c r="E66" s="37" t="s">
        <v>629</v>
      </c>
    </row>
    <row r="67" spans="1:5" ht="14.25" customHeight="1" x14ac:dyDescent="0.3">
      <c r="A67" s="40">
        <v>65</v>
      </c>
      <c r="B67" s="175" t="s">
        <v>155</v>
      </c>
      <c r="C67" s="175" t="s">
        <v>139</v>
      </c>
      <c r="D67" s="175" t="s">
        <v>394</v>
      </c>
      <c r="E67" s="37" t="s">
        <v>632</v>
      </c>
    </row>
    <row r="68" spans="1:5" ht="14.25" customHeight="1" x14ac:dyDescent="0.3">
      <c r="A68" s="40">
        <v>66</v>
      </c>
      <c r="B68" s="175" t="s">
        <v>155</v>
      </c>
      <c r="C68" s="175" t="s">
        <v>139</v>
      </c>
      <c r="D68" s="175" t="s">
        <v>154</v>
      </c>
      <c r="E68" s="37" t="s">
        <v>632</v>
      </c>
    </row>
    <row r="69" spans="1:5" ht="14.25" customHeight="1" x14ac:dyDescent="0.3">
      <c r="A69" s="40">
        <v>67</v>
      </c>
      <c r="B69" s="175" t="s">
        <v>155</v>
      </c>
      <c r="C69" s="175" t="s">
        <v>139</v>
      </c>
      <c r="D69" s="175" t="s">
        <v>398</v>
      </c>
      <c r="E69" s="37" t="s">
        <v>159</v>
      </c>
    </row>
    <row r="70" spans="1:5" ht="14.25" customHeight="1" x14ac:dyDescent="0.3">
      <c r="A70" s="40">
        <v>68</v>
      </c>
      <c r="B70" s="175" t="s">
        <v>155</v>
      </c>
      <c r="C70" s="175" t="s">
        <v>139</v>
      </c>
      <c r="D70" s="175" t="s">
        <v>402</v>
      </c>
      <c r="E70" s="37" t="s">
        <v>159</v>
      </c>
    </row>
    <row r="71" spans="1:5" ht="14.25" customHeight="1" x14ac:dyDescent="0.3">
      <c r="A71" s="40">
        <v>69</v>
      </c>
      <c r="B71" s="175" t="s">
        <v>155</v>
      </c>
      <c r="C71" s="175" t="s">
        <v>139</v>
      </c>
      <c r="D71" s="175" t="s">
        <v>343</v>
      </c>
      <c r="E71" s="37" t="s">
        <v>159</v>
      </c>
    </row>
    <row r="72" spans="1:5" ht="21" customHeight="1" x14ac:dyDescent="0.3">
      <c r="A72" s="40">
        <v>70</v>
      </c>
      <c r="B72" s="175" t="s">
        <v>155</v>
      </c>
      <c r="C72" s="175" t="s">
        <v>139</v>
      </c>
      <c r="D72" s="175" t="s">
        <v>160</v>
      </c>
      <c r="E72" s="37" t="s">
        <v>149</v>
      </c>
    </row>
    <row r="73" spans="1:5" ht="14.25" customHeight="1" x14ac:dyDescent="0.3">
      <c r="A73" s="40">
        <v>71</v>
      </c>
      <c r="B73" s="175" t="s">
        <v>155</v>
      </c>
      <c r="C73" s="175" t="s">
        <v>139</v>
      </c>
      <c r="D73" s="175" t="s">
        <v>407</v>
      </c>
      <c r="E73" s="37" t="s">
        <v>149</v>
      </c>
    </row>
    <row r="74" spans="1:5" ht="14.25" customHeight="1" x14ac:dyDescent="0.3">
      <c r="A74" s="40">
        <v>72</v>
      </c>
      <c r="B74" s="175" t="s">
        <v>155</v>
      </c>
      <c r="C74" s="175" t="s">
        <v>139</v>
      </c>
      <c r="D74" s="175" t="s">
        <v>408</v>
      </c>
      <c r="E74" s="37" t="s">
        <v>149</v>
      </c>
    </row>
    <row r="75" spans="1:5" ht="14.25" customHeight="1" x14ac:dyDescent="0.3">
      <c r="A75" s="40">
        <v>73</v>
      </c>
      <c r="B75" s="175" t="s">
        <v>421</v>
      </c>
      <c r="C75" s="175" t="s">
        <v>139</v>
      </c>
      <c r="D75" s="175" t="s">
        <v>394</v>
      </c>
      <c r="E75" s="37" t="s">
        <v>399</v>
      </c>
    </row>
    <row r="76" spans="1:5" ht="14.25" customHeight="1" x14ac:dyDescent="0.3">
      <c r="A76" s="40">
        <v>74</v>
      </c>
      <c r="B76" s="175" t="s">
        <v>421</v>
      </c>
      <c r="C76" s="175" t="s">
        <v>139</v>
      </c>
      <c r="D76" s="175" t="s">
        <v>154</v>
      </c>
      <c r="E76" s="37" t="s">
        <v>399</v>
      </c>
    </row>
    <row r="77" spans="1:5" ht="14.25" customHeight="1" x14ac:dyDescent="0.3">
      <c r="A77" s="40">
        <v>75</v>
      </c>
      <c r="B77" s="175" t="s">
        <v>421</v>
      </c>
      <c r="C77" s="175" t="s">
        <v>139</v>
      </c>
      <c r="D77" s="175" t="s">
        <v>398</v>
      </c>
      <c r="E77" s="37" t="s">
        <v>399</v>
      </c>
    </row>
    <row r="78" spans="1:5" ht="14.25" customHeight="1" x14ac:dyDescent="0.3">
      <c r="A78" s="40">
        <v>76</v>
      </c>
      <c r="B78" s="175" t="s">
        <v>421</v>
      </c>
      <c r="C78" s="175" t="s">
        <v>139</v>
      </c>
      <c r="D78" s="175" t="s">
        <v>402</v>
      </c>
      <c r="E78" s="37" t="s">
        <v>399</v>
      </c>
    </row>
    <row r="79" spans="1:5" ht="14.25" customHeight="1" x14ac:dyDescent="0.3">
      <c r="A79" s="40">
        <v>77</v>
      </c>
      <c r="B79" s="175" t="s">
        <v>421</v>
      </c>
      <c r="C79" s="175" t="s">
        <v>139</v>
      </c>
      <c r="D79" s="175" t="s">
        <v>343</v>
      </c>
      <c r="E79" s="37" t="s">
        <v>399</v>
      </c>
    </row>
    <row r="80" spans="1:5" ht="14.25" customHeight="1" x14ac:dyDescent="0.3">
      <c r="A80" s="40">
        <v>78</v>
      </c>
      <c r="B80" s="175" t="s">
        <v>421</v>
      </c>
      <c r="C80" s="175" t="s">
        <v>139</v>
      </c>
      <c r="D80" s="175" t="s">
        <v>160</v>
      </c>
      <c r="E80" s="37" t="s">
        <v>399</v>
      </c>
    </row>
    <row r="81" spans="1:7" ht="14.25" customHeight="1" x14ac:dyDescent="0.3">
      <c r="A81" s="40">
        <v>79</v>
      </c>
      <c r="B81" s="175" t="s">
        <v>421</v>
      </c>
      <c r="C81" s="175" t="s">
        <v>139</v>
      </c>
      <c r="D81" s="175" t="s">
        <v>407</v>
      </c>
      <c r="E81" s="37" t="s">
        <v>399</v>
      </c>
    </row>
    <row r="82" spans="1:7" ht="14.25" customHeight="1" x14ac:dyDescent="0.3">
      <c r="A82" s="204">
        <v>80</v>
      </c>
      <c r="B82" s="186" t="s">
        <v>421</v>
      </c>
      <c r="C82" s="186" t="s">
        <v>139</v>
      </c>
      <c r="D82" s="186" t="s">
        <v>408</v>
      </c>
      <c r="E82" s="43" t="s">
        <v>399</v>
      </c>
    </row>
    <row r="83" spans="1:7" ht="14.25" customHeight="1" x14ac:dyDescent="0.3"/>
    <row r="84" spans="1:7" ht="14.25" customHeight="1" x14ac:dyDescent="0.3"/>
    <row r="85" spans="1:7" ht="14.25" customHeight="1" x14ac:dyDescent="0.3"/>
    <row r="86" spans="1:7" ht="14.25" customHeight="1" x14ac:dyDescent="0.3">
      <c r="A86" s="25" t="s">
        <v>633</v>
      </c>
    </row>
    <row r="87" spans="1:7" ht="14.25" customHeight="1" x14ac:dyDescent="0.3">
      <c r="A87" s="167" t="s">
        <v>385</v>
      </c>
      <c r="B87" s="168" t="s">
        <v>386</v>
      </c>
      <c r="C87" s="168" t="s">
        <v>387</v>
      </c>
      <c r="D87" s="169" t="s">
        <v>445</v>
      </c>
    </row>
    <row r="88" spans="1:7" ht="14.25" customHeight="1" x14ac:dyDescent="0.3">
      <c r="A88" s="170">
        <v>1</v>
      </c>
      <c r="B88" s="171" t="s">
        <v>393</v>
      </c>
      <c r="C88" s="171" t="s">
        <v>394</v>
      </c>
      <c r="D88" s="172" t="s">
        <v>399</v>
      </c>
      <c r="G88" s="152" t="s">
        <v>634</v>
      </c>
    </row>
    <row r="89" spans="1:7" ht="14.25" customHeight="1" x14ac:dyDescent="0.3">
      <c r="A89" s="40">
        <v>2</v>
      </c>
      <c r="B89" s="175" t="s">
        <v>393</v>
      </c>
      <c r="C89" s="175" t="s">
        <v>154</v>
      </c>
      <c r="D89" s="37" t="s">
        <v>399</v>
      </c>
      <c r="G89" s="158" t="s">
        <v>635</v>
      </c>
    </row>
    <row r="90" spans="1:7" ht="14.25" customHeight="1" x14ac:dyDescent="0.3">
      <c r="A90" s="40">
        <v>3</v>
      </c>
      <c r="B90" s="175" t="s">
        <v>393</v>
      </c>
      <c r="C90" s="175" t="s">
        <v>398</v>
      </c>
      <c r="D90" s="37" t="s">
        <v>399</v>
      </c>
    </row>
    <row r="91" spans="1:7" ht="14.25" customHeight="1" x14ac:dyDescent="0.3">
      <c r="A91" s="40">
        <v>4</v>
      </c>
      <c r="B91" s="175" t="s">
        <v>393</v>
      </c>
      <c r="C91" s="175" t="s">
        <v>402</v>
      </c>
      <c r="D91" s="37" t="s">
        <v>399</v>
      </c>
      <c r="G91" s="152" t="s">
        <v>636</v>
      </c>
    </row>
    <row r="92" spans="1:7" ht="14.25" customHeight="1" x14ac:dyDescent="0.3">
      <c r="A92" s="40">
        <v>5</v>
      </c>
      <c r="B92" s="175" t="s">
        <v>393</v>
      </c>
      <c r="C92" s="175" t="s">
        <v>343</v>
      </c>
      <c r="D92" s="37" t="s">
        <v>399</v>
      </c>
      <c r="G92" s="158" t="s">
        <v>637</v>
      </c>
    </row>
    <row r="93" spans="1:7" ht="14.25" customHeight="1" x14ac:dyDescent="0.3">
      <c r="A93" s="40">
        <v>6</v>
      </c>
      <c r="B93" s="175" t="s">
        <v>393</v>
      </c>
      <c r="C93" s="175" t="s">
        <v>160</v>
      </c>
      <c r="D93" s="37" t="s">
        <v>399</v>
      </c>
      <c r="G93" s="152" t="s">
        <v>108</v>
      </c>
    </row>
    <row r="94" spans="1:7" ht="14.25" customHeight="1" x14ac:dyDescent="0.3">
      <c r="A94" s="40">
        <v>7</v>
      </c>
      <c r="B94" s="175" t="s">
        <v>393</v>
      </c>
      <c r="C94" s="175" t="s">
        <v>407</v>
      </c>
      <c r="D94" s="37" t="s">
        <v>399</v>
      </c>
      <c r="G94" s="158" t="s">
        <v>638</v>
      </c>
    </row>
    <row r="95" spans="1:7" ht="14.25" customHeight="1" x14ac:dyDescent="0.3">
      <c r="A95" s="40">
        <v>8</v>
      </c>
      <c r="B95" s="175" t="s">
        <v>393</v>
      </c>
      <c r="C95" s="175" t="s">
        <v>408</v>
      </c>
      <c r="D95" s="37" t="s">
        <v>399</v>
      </c>
      <c r="G95" s="152" t="s">
        <v>111</v>
      </c>
    </row>
    <row r="96" spans="1:7" ht="14.25" customHeight="1" x14ac:dyDescent="0.3">
      <c r="A96" s="40">
        <v>9</v>
      </c>
      <c r="B96" s="175" t="s">
        <v>409</v>
      </c>
      <c r="C96" s="175" t="s">
        <v>394</v>
      </c>
      <c r="D96" s="37" t="s">
        <v>399</v>
      </c>
      <c r="G96" s="158" t="s">
        <v>639</v>
      </c>
    </row>
    <row r="97" spans="1:4" ht="14.25" customHeight="1" x14ac:dyDescent="0.3">
      <c r="A97" s="40">
        <v>10</v>
      </c>
      <c r="B97" s="175" t="s">
        <v>409</v>
      </c>
      <c r="C97" s="175" t="s">
        <v>154</v>
      </c>
      <c r="D97" s="37" t="s">
        <v>399</v>
      </c>
    </row>
    <row r="98" spans="1:4" ht="14.25" customHeight="1" x14ac:dyDescent="0.3">
      <c r="A98" s="40">
        <v>11</v>
      </c>
      <c r="B98" s="175" t="s">
        <v>409</v>
      </c>
      <c r="C98" s="175" t="s">
        <v>398</v>
      </c>
      <c r="D98" s="37" t="s">
        <v>399</v>
      </c>
    </row>
    <row r="99" spans="1:4" ht="14.25" customHeight="1" x14ac:dyDescent="0.3">
      <c r="A99" s="40">
        <v>12</v>
      </c>
      <c r="B99" s="175" t="s">
        <v>409</v>
      </c>
      <c r="C99" s="175" t="s">
        <v>402</v>
      </c>
      <c r="D99" s="37" t="s">
        <v>399</v>
      </c>
    </row>
    <row r="100" spans="1:4" ht="14.25" customHeight="1" x14ac:dyDescent="0.3">
      <c r="A100" s="40">
        <v>13</v>
      </c>
      <c r="B100" s="175" t="s">
        <v>409</v>
      </c>
      <c r="C100" s="175" t="s">
        <v>343</v>
      </c>
      <c r="D100" s="37" t="s">
        <v>399</v>
      </c>
    </row>
    <row r="101" spans="1:4" ht="14.25" customHeight="1" x14ac:dyDescent="0.3">
      <c r="A101" s="40">
        <v>14</v>
      </c>
      <c r="B101" s="175" t="s">
        <v>409</v>
      </c>
      <c r="C101" s="175" t="s">
        <v>160</v>
      </c>
      <c r="D101" s="37" t="s">
        <v>399</v>
      </c>
    </row>
    <row r="102" spans="1:4" ht="14.25" customHeight="1" x14ac:dyDescent="0.3">
      <c r="A102" s="40">
        <v>15</v>
      </c>
      <c r="B102" s="175" t="s">
        <v>409</v>
      </c>
      <c r="C102" s="175" t="s">
        <v>407</v>
      </c>
      <c r="D102" s="37" t="s">
        <v>399</v>
      </c>
    </row>
    <row r="103" spans="1:4" ht="14.25" customHeight="1" x14ac:dyDescent="0.3">
      <c r="A103" s="40">
        <v>16</v>
      </c>
      <c r="B103" s="175" t="s">
        <v>409</v>
      </c>
      <c r="C103" s="175" t="s">
        <v>408</v>
      </c>
      <c r="D103" s="37" t="s">
        <v>399</v>
      </c>
    </row>
    <row r="104" spans="1:4" ht="14.25" customHeight="1" x14ac:dyDescent="0.3">
      <c r="A104" s="40">
        <v>17</v>
      </c>
      <c r="B104" s="175" t="s">
        <v>138</v>
      </c>
      <c r="C104" s="175" t="s">
        <v>394</v>
      </c>
      <c r="D104" s="37" t="s">
        <v>640</v>
      </c>
    </row>
    <row r="105" spans="1:4" ht="14.25" customHeight="1" x14ac:dyDescent="0.3">
      <c r="A105" s="40">
        <v>18</v>
      </c>
      <c r="B105" s="175" t="s">
        <v>138</v>
      </c>
      <c r="C105" s="175" t="s">
        <v>154</v>
      </c>
      <c r="D105" s="37" t="s">
        <v>640</v>
      </c>
    </row>
    <row r="106" spans="1:4" ht="14.25" customHeight="1" x14ac:dyDescent="0.3">
      <c r="A106" s="40">
        <v>19</v>
      </c>
      <c r="B106" s="175" t="s">
        <v>138</v>
      </c>
      <c r="C106" s="175" t="s">
        <v>398</v>
      </c>
      <c r="D106" s="37" t="s">
        <v>632</v>
      </c>
    </row>
    <row r="107" spans="1:4" ht="14.25" customHeight="1" x14ac:dyDescent="0.3">
      <c r="A107" s="40">
        <v>20</v>
      </c>
      <c r="B107" s="175" t="s">
        <v>138</v>
      </c>
      <c r="C107" s="175" t="s">
        <v>402</v>
      </c>
      <c r="D107" s="37" t="s">
        <v>632</v>
      </c>
    </row>
    <row r="108" spans="1:4" ht="14.25" customHeight="1" x14ac:dyDescent="0.3">
      <c r="A108" s="40">
        <v>21</v>
      </c>
      <c r="B108" s="175" t="s">
        <v>138</v>
      </c>
      <c r="C108" s="175" t="s">
        <v>343</v>
      </c>
      <c r="D108" s="37" t="s">
        <v>632</v>
      </c>
    </row>
    <row r="109" spans="1:4" ht="14.25" customHeight="1" x14ac:dyDescent="0.3">
      <c r="A109" s="40">
        <v>22</v>
      </c>
      <c r="B109" s="175" t="s">
        <v>138</v>
      </c>
      <c r="C109" s="175" t="s">
        <v>160</v>
      </c>
      <c r="D109" s="37" t="s">
        <v>159</v>
      </c>
    </row>
    <row r="110" spans="1:4" ht="14.25" customHeight="1" x14ac:dyDescent="0.3">
      <c r="A110" s="40">
        <v>23</v>
      </c>
      <c r="B110" s="175" t="s">
        <v>138</v>
      </c>
      <c r="C110" s="175" t="s">
        <v>407</v>
      </c>
      <c r="D110" s="37" t="s">
        <v>159</v>
      </c>
    </row>
    <row r="111" spans="1:4" ht="14.25" customHeight="1" x14ac:dyDescent="0.3">
      <c r="A111" s="40">
        <v>24</v>
      </c>
      <c r="B111" s="175" t="s">
        <v>138</v>
      </c>
      <c r="C111" s="175" t="s">
        <v>408</v>
      </c>
      <c r="D111" s="37" t="s">
        <v>159</v>
      </c>
    </row>
    <row r="112" spans="1:4" ht="14.25" customHeight="1" x14ac:dyDescent="0.3">
      <c r="A112" s="40">
        <v>25</v>
      </c>
      <c r="B112" s="175" t="s">
        <v>155</v>
      </c>
      <c r="C112" s="175" t="s">
        <v>394</v>
      </c>
      <c r="D112" s="37" t="s">
        <v>641</v>
      </c>
    </row>
    <row r="113" spans="1:4" ht="14.25" customHeight="1" x14ac:dyDescent="0.3">
      <c r="A113" s="40">
        <v>26</v>
      </c>
      <c r="B113" s="175" t="s">
        <v>155</v>
      </c>
      <c r="C113" s="175" t="s">
        <v>154</v>
      </c>
      <c r="D113" s="37" t="s">
        <v>641</v>
      </c>
    </row>
    <row r="114" spans="1:4" ht="14.25" customHeight="1" x14ac:dyDescent="0.3">
      <c r="A114" s="40">
        <v>27</v>
      </c>
      <c r="B114" s="175" t="s">
        <v>155</v>
      </c>
      <c r="C114" s="175" t="s">
        <v>398</v>
      </c>
      <c r="D114" s="37" t="s">
        <v>640</v>
      </c>
    </row>
    <row r="115" spans="1:4" ht="14.25" customHeight="1" x14ac:dyDescent="0.3">
      <c r="A115" s="40">
        <v>28</v>
      </c>
      <c r="B115" s="175" t="s">
        <v>155</v>
      </c>
      <c r="C115" s="175" t="s">
        <v>402</v>
      </c>
      <c r="D115" s="37" t="s">
        <v>640</v>
      </c>
    </row>
    <row r="116" spans="1:4" ht="14.25" customHeight="1" x14ac:dyDescent="0.3">
      <c r="A116" s="40">
        <v>29</v>
      </c>
      <c r="B116" s="175" t="s">
        <v>155</v>
      </c>
      <c r="C116" s="175" t="s">
        <v>343</v>
      </c>
      <c r="D116" s="37" t="s">
        <v>640</v>
      </c>
    </row>
    <row r="117" spans="1:4" ht="14.25" customHeight="1" x14ac:dyDescent="0.3">
      <c r="A117" s="40">
        <v>30</v>
      </c>
      <c r="B117" s="175" t="s">
        <v>155</v>
      </c>
      <c r="C117" s="175" t="s">
        <v>160</v>
      </c>
      <c r="D117" s="37" t="s">
        <v>632</v>
      </c>
    </row>
    <row r="118" spans="1:4" ht="14.25" customHeight="1" x14ac:dyDescent="0.3">
      <c r="A118" s="40">
        <v>31</v>
      </c>
      <c r="B118" s="175" t="s">
        <v>155</v>
      </c>
      <c r="C118" s="175" t="s">
        <v>407</v>
      </c>
      <c r="D118" s="37" t="s">
        <v>632</v>
      </c>
    </row>
    <row r="119" spans="1:4" ht="14.25" customHeight="1" x14ac:dyDescent="0.3">
      <c r="A119" s="40">
        <v>32</v>
      </c>
      <c r="B119" s="175" t="s">
        <v>155</v>
      </c>
      <c r="C119" s="175" t="s">
        <v>408</v>
      </c>
      <c r="D119" s="37" t="s">
        <v>632</v>
      </c>
    </row>
    <row r="120" spans="1:4" ht="14.25" customHeight="1" x14ac:dyDescent="0.3">
      <c r="A120" s="40">
        <v>33</v>
      </c>
      <c r="B120" s="175" t="s">
        <v>421</v>
      </c>
      <c r="C120" s="175" t="s">
        <v>394</v>
      </c>
      <c r="D120" s="37" t="s">
        <v>399</v>
      </c>
    </row>
    <row r="121" spans="1:4" ht="14.25" customHeight="1" x14ac:dyDescent="0.3">
      <c r="A121" s="40">
        <v>34</v>
      </c>
      <c r="B121" s="175" t="s">
        <v>421</v>
      </c>
      <c r="C121" s="175" t="s">
        <v>154</v>
      </c>
      <c r="D121" s="37" t="s">
        <v>399</v>
      </c>
    </row>
    <row r="122" spans="1:4" ht="14.25" customHeight="1" x14ac:dyDescent="0.3">
      <c r="A122" s="40">
        <v>35</v>
      </c>
      <c r="B122" s="175" t="s">
        <v>421</v>
      </c>
      <c r="C122" s="175" t="s">
        <v>398</v>
      </c>
      <c r="D122" s="37" t="s">
        <v>399</v>
      </c>
    </row>
    <row r="123" spans="1:4" ht="14.25" customHeight="1" x14ac:dyDescent="0.3">
      <c r="A123" s="40">
        <v>36</v>
      </c>
      <c r="B123" s="175" t="s">
        <v>421</v>
      </c>
      <c r="C123" s="175" t="s">
        <v>402</v>
      </c>
      <c r="D123" s="37" t="s">
        <v>399</v>
      </c>
    </row>
    <row r="124" spans="1:4" ht="14.25" customHeight="1" x14ac:dyDescent="0.3">
      <c r="A124" s="40">
        <v>37</v>
      </c>
      <c r="B124" s="175" t="s">
        <v>421</v>
      </c>
      <c r="C124" s="175" t="s">
        <v>343</v>
      </c>
      <c r="D124" s="37" t="s">
        <v>399</v>
      </c>
    </row>
    <row r="125" spans="1:4" ht="14.25" customHeight="1" x14ac:dyDescent="0.3">
      <c r="A125" s="40">
        <v>38</v>
      </c>
      <c r="B125" s="175" t="s">
        <v>421</v>
      </c>
      <c r="C125" s="175" t="s">
        <v>160</v>
      </c>
      <c r="D125" s="37" t="s">
        <v>399</v>
      </c>
    </row>
    <row r="126" spans="1:4" ht="14.25" customHeight="1" x14ac:dyDescent="0.3">
      <c r="A126" s="40">
        <v>39</v>
      </c>
      <c r="B126" s="175" t="s">
        <v>421</v>
      </c>
      <c r="C126" s="175" t="s">
        <v>407</v>
      </c>
      <c r="D126" s="37" t="s">
        <v>399</v>
      </c>
    </row>
    <row r="127" spans="1:4" ht="14.25" customHeight="1" x14ac:dyDescent="0.3">
      <c r="A127" s="204">
        <v>40</v>
      </c>
      <c r="B127" s="186" t="s">
        <v>421</v>
      </c>
      <c r="C127" s="186" t="s">
        <v>408</v>
      </c>
      <c r="D127" s="43" t="s">
        <v>399</v>
      </c>
    </row>
    <row r="128" spans="1:4" ht="14.25" customHeight="1" x14ac:dyDescent="0.3"/>
    <row r="129" spans="1:7" ht="14.25" customHeight="1" x14ac:dyDescent="0.3"/>
    <row r="130" spans="1:7" ht="14.25" customHeight="1" x14ac:dyDescent="0.3"/>
    <row r="131" spans="1:7" ht="14.25" customHeight="1" x14ac:dyDescent="0.3"/>
    <row r="132" spans="1:7" ht="14.25" customHeight="1" x14ac:dyDescent="0.3">
      <c r="A132" s="25" t="s">
        <v>642</v>
      </c>
    </row>
    <row r="133" spans="1:7" ht="14.25" customHeight="1" x14ac:dyDescent="0.3">
      <c r="A133" s="167" t="s">
        <v>385</v>
      </c>
      <c r="B133" s="168" t="s">
        <v>386</v>
      </c>
      <c r="C133" s="168" t="s">
        <v>387</v>
      </c>
      <c r="D133" s="169" t="s">
        <v>445</v>
      </c>
      <c r="G133" s="152" t="s">
        <v>643</v>
      </c>
    </row>
    <row r="134" spans="1:7" ht="14.25" customHeight="1" x14ac:dyDescent="0.3">
      <c r="A134" s="170">
        <v>9</v>
      </c>
      <c r="B134" s="171" t="s">
        <v>409</v>
      </c>
      <c r="C134" s="171" t="s">
        <v>394</v>
      </c>
      <c r="D134" s="172" t="s">
        <v>159</v>
      </c>
      <c r="G134" s="158" t="s">
        <v>644</v>
      </c>
    </row>
    <row r="135" spans="1:7" ht="14.25" customHeight="1" x14ac:dyDescent="0.3">
      <c r="A135" s="40">
        <v>10</v>
      </c>
      <c r="B135" s="175" t="s">
        <v>409</v>
      </c>
      <c r="C135" s="175" t="s">
        <v>154</v>
      </c>
      <c r="D135" s="37" t="s">
        <v>159</v>
      </c>
    </row>
    <row r="136" spans="1:7" ht="14.25" customHeight="1" x14ac:dyDescent="0.3">
      <c r="A136" s="40">
        <v>11</v>
      </c>
      <c r="B136" s="175" t="s">
        <v>409</v>
      </c>
      <c r="C136" s="175" t="s">
        <v>398</v>
      </c>
      <c r="D136" s="37" t="s">
        <v>149</v>
      </c>
    </row>
    <row r="137" spans="1:7" ht="14.25" customHeight="1" x14ac:dyDescent="0.3">
      <c r="A137" s="40">
        <v>12</v>
      </c>
      <c r="B137" s="175" t="s">
        <v>409</v>
      </c>
      <c r="C137" s="175" t="s">
        <v>402</v>
      </c>
      <c r="D137" s="37" t="s">
        <v>149</v>
      </c>
    </row>
    <row r="138" spans="1:7" ht="14.25" customHeight="1" x14ac:dyDescent="0.3">
      <c r="A138" s="40">
        <v>13</v>
      </c>
      <c r="B138" s="175" t="s">
        <v>409</v>
      </c>
      <c r="C138" s="175" t="s">
        <v>343</v>
      </c>
      <c r="D138" s="37" t="s">
        <v>149</v>
      </c>
      <c r="G138" s="211">
        <v>1.4</v>
      </c>
    </row>
    <row r="139" spans="1:7" ht="14.25" customHeight="1" x14ac:dyDescent="0.3">
      <c r="A139" s="40">
        <v>14</v>
      </c>
      <c r="B139" s="175" t="s">
        <v>409</v>
      </c>
      <c r="C139" s="175" t="s">
        <v>160</v>
      </c>
      <c r="D139" s="37" t="s">
        <v>629</v>
      </c>
      <c r="G139" s="158" t="s">
        <v>645</v>
      </c>
    </row>
    <row r="140" spans="1:7" ht="14.25" customHeight="1" x14ac:dyDescent="0.3">
      <c r="A140" s="40">
        <v>15</v>
      </c>
      <c r="B140" s="175" t="s">
        <v>409</v>
      </c>
      <c r="C140" s="175" t="s">
        <v>407</v>
      </c>
      <c r="D140" s="37" t="s">
        <v>629</v>
      </c>
    </row>
    <row r="141" spans="1:7" ht="14.25" customHeight="1" x14ac:dyDescent="0.3">
      <c r="A141" s="40">
        <v>16</v>
      </c>
      <c r="B141" s="175" t="s">
        <v>409</v>
      </c>
      <c r="C141" s="175" t="s">
        <v>408</v>
      </c>
      <c r="D141" s="37" t="s">
        <v>629</v>
      </c>
    </row>
    <row r="142" spans="1:7" ht="14.25" customHeight="1" x14ac:dyDescent="0.3">
      <c r="A142" s="40">
        <v>17</v>
      </c>
      <c r="B142" s="175" t="s">
        <v>138</v>
      </c>
      <c r="C142" s="175" t="s">
        <v>394</v>
      </c>
      <c r="D142" s="37" t="s">
        <v>632</v>
      </c>
    </row>
    <row r="143" spans="1:7" ht="14.25" customHeight="1" x14ac:dyDescent="0.3">
      <c r="A143" s="40">
        <v>18</v>
      </c>
      <c r="B143" s="175" t="s">
        <v>138</v>
      </c>
      <c r="C143" s="175" t="s">
        <v>154</v>
      </c>
      <c r="D143" s="37" t="s">
        <v>632</v>
      </c>
    </row>
    <row r="144" spans="1:7" ht="14.25" customHeight="1" x14ac:dyDescent="0.3">
      <c r="A144" s="40">
        <v>19</v>
      </c>
      <c r="B144" s="175" t="s">
        <v>138</v>
      </c>
      <c r="C144" s="175" t="s">
        <v>398</v>
      </c>
      <c r="D144" s="37" t="s">
        <v>632</v>
      </c>
    </row>
    <row r="145" spans="1:4" ht="14.25" customHeight="1" x14ac:dyDescent="0.3">
      <c r="A145" s="40">
        <v>20</v>
      </c>
      <c r="B145" s="175" t="s">
        <v>138</v>
      </c>
      <c r="C145" s="175" t="s">
        <v>402</v>
      </c>
      <c r="D145" s="37" t="s">
        <v>632</v>
      </c>
    </row>
    <row r="146" spans="1:4" ht="14.25" customHeight="1" x14ac:dyDescent="0.3">
      <c r="A146" s="40">
        <v>21</v>
      </c>
      <c r="B146" s="175" t="s">
        <v>138</v>
      </c>
      <c r="C146" s="175" t="s">
        <v>343</v>
      </c>
      <c r="D146" s="37" t="s">
        <v>632</v>
      </c>
    </row>
    <row r="147" spans="1:4" ht="14.25" customHeight="1" x14ac:dyDescent="0.3">
      <c r="A147" s="40">
        <v>22</v>
      </c>
      <c r="B147" s="175" t="s">
        <v>138</v>
      </c>
      <c r="C147" s="175" t="s">
        <v>160</v>
      </c>
      <c r="D147" s="37" t="s">
        <v>632</v>
      </c>
    </row>
    <row r="148" spans="1:4" ht="14.25" customHeight="1" x14ac:dyDescent="0.3">
      <c r="A148" s="40">
        <v>23</v>
      </c>
      <c r="B148" s="175" t="s">
        <v>138</v>
      </c>
      <c r="C148" s="175" t="s">
        <v>407</v>
      </c>
      <c r="D148" s="37" t="s">
        <v>632</v>
      </c>
    </row>
    <row r="149" spans="1:4" ht="14.25" customHeight="1" x14ac:dyDescent="0.3">
      <c r="A149" s="40">
        <v>24</v>
      </c>
      <c r="B149" s="175" t="s">
        <v>138</v>
      </c>
      <c r="C149" s="175" t="s">
        <v>408</v>
      </c>
      <c r="D149" s="37" t="s">
        <v>632</v>
      </c>
    </row>
    <row r="150" spans="1:4" ht="14.25" customHeight="1" x14ac:dyDescent="0.3">
      <c r="A150" s="40">
        <v>25</v>
      </c>
      <c r="B150" s="175" t="s">
        <v>155</v>
      </c>
      <c r="C150" s="175" t="s">
        <v>394</v>
      </c>
      <c r="D150" s="37" t="s">
        <v>632</v>
      </c>
    </row>
    <row r="151" spans="1:4" ht="14.25" customHeight="1" x14ac:dyDescent="0.3">
      <c r="A151" s="40">
        <v>26</v>
      </c>
      <c r="B151" s="175" t="s">
        <v>155</v>
      </c>
      <c r="C151" s="175" t="s">
        <v>154</v>
      </c>
      <c r="D151" s="37" t="s">
        <v>632</v>
      </c>
    </row>
    <row r="152" spans="1:4" ht="14.25" customHeight="1" x14ac:dyDescent="0.3">
      <c r="A152" s="40">
        <v>27</v>
      </c>
      <c r="B152" s="175" t="s">
        <v>155</v>
      </c>
      <c r="C152" s="175" t="s">
        <v>398</v>
      </c>
      <c r="D152" s="37" t="s">
        <v>632</v>
      </c>
    </row>
    <row r="153" spans="1:4" ht="14.25" customHeight="1" x14ac:dyDescent="0.3">
      <c r="A153" s="40">
        <v>28</v>
      </c>
      <c r="B153" s="175" t="s">
        <v>155</v>
      </c>
      <c r="C153" s="175" t="s">
        <v>402</v>
      </c>
      <c r="D153" s="37" t="s">
        <v>632</v>
      </c>
    </row>
    <row r="154" spans="1:4" ht="14.25" customHeight="1" x14ac:dyDescent="0.3">
      <c r="A154" s="40">
        <v>29</v>
      </c>
      <c r="B154" s="175" t="s">
        <v>155</v>
      </c>
      <c r="C154" s="175" t="s">
        <v>343</v>
      </c>
      <c r="D154" s="37" t="s">
        <v>632</v>
      </c>
    </row>
    <row r="155" spans="1:4" ht="14.25" customHeight="1" x14ac:dyDescent="0.3">
      <c r="A155" s="40">
        <v>30</v>
      </c>
      <c r="B155" s="175" t="s">
        <v>155</v>
      </c>
      <c r="C155" s="175" t="s">
        <v>160</v>
      </c>
      <c r="D155" s="37" t="s">
        <v>632</v>
      </c>
    </row>
    <row r="156" spans="1:4" ht="14.25" customHeight="1" x14ac:dyDescent="0.3">
      <c r="A156" s="40">
        <v>31</v>
      </c>
      <c r="B156" s="175" t="s">
        <v>155</v>
      </c>
      <c r="C156" s="175" t="s">
        <v>407</v>
      </c>
      <c r="D156" s="37" t="s">
        <v>632</v>
      </c>
    </row>
    <row r="157" spans="1:4" ht="14.25" customHeight="1" x14ac:dyDescent="0.3">
      <c r="A157" s="182">
        <v>32</v>
      </c>
      <c r="B157" s="183" t="s">
        <v>155</v>
      </c>
      <c r="C157" s="183" t="s">
        <v>408</v>
      </c>
      <c r="D157" s="203" t="s">
        <v>632</v>
      </c>
    </row>
    <row r="158" spans="1:4" ht="14.25" customHeight="1" x14ac:dyDescent="0.3">
      <c r="A158" s="184">
        <v>33</v>
      </c>
      <c r="B158" s="185" t="s">
        <v>421</v>
      </c>
      <c r="C158" s="185" t="s">
        <v>394</v>
      </c>
      <c r="D158" s="33" t="s">
        <v>399</v>
      </c>
    </row>
    <row r="159" spans="1:4" ht="14.25" customHeight="1" x14ac:dyDescent="0.3">
      <c r="A159" s="40">
        <v>34</v>
      </c>
      <c r="B159" s="175" t="s">
        <v>421</v>
      </c>
      <c r="C159" s="175" t="s">
        <v>154</v>
      </c>
      <c r="D159" s="37" t="s">
        <v>399</v>
      </c>
    </row>
    <row r="160" spans="1:4" ht="14.25" customHeight="1" x14ac:dyDescent="0.3">
      <c r="A160" s="40">
        <v>35</v>
      </c>
      <c r="B160" s="175" t="s">
        <v>421</v>
      </c>
      <c r="C160" s="175" t="s">
        <v>398</v>
      </c>
      <c r="D160" s="37" t="s">
        <v>399</v>
      </c>
    </row>
    <row r="161" spans="1:4" ht="14.25" customHeight="1" x14ac:dyDescent="0.3">
      <c r="A161" s="40">
        <v>36</v>
      </c>
      <c r="B161" s="175" t="s">
        <v>421</v>
      </c>
      <c r="C161" s="175" t="s">
        <v>402</v>
      </c>
      <c r="D161" s="37" t="s">
        <v>399</v>
      </c>
    </row>
    <row r="162" spans="1:4" ht="14.25" customHeight="1" x14ac:dyDescent="0.3">
      <c r="A162" s="40">
        <v>37</v>
      </c>
      <c r="B162" s="175" t="s">
        <v>421</v>
      </c>
      <c r="C162" s="175" t="s">
        <v>343</v>
      </c>
      <c r="D162" s="37" t="s">
        <v>399</v>
      </c>
    </row>
    <row r="163" spans="1:4" ht="14.25" customHeight="1" x14ac:dyDescent="0.3">
      <c r="A163" s="40">
        <v>38</v>
      </c>
      <c r="B163" s="175" t="s">
        <v>421</v>
      </c>
      <c r="C163" s="175" t="s">
        <v>160</v>
      </c>
      <c r="D163" s="37" t="s">
        <v>399</v>
      </c>
    </row>
    <row r="164" spans="1:4" ht="14.25" customHeight="1" x14ac:dyDescent="0.3">
      <c r="A164" s="40">
        <v>39</v>
      </c>
      <c r="B164" s="175" t="s">
        <v>421</v>
      </c>
      <c r="C164" s="175" t="s">
        <v>407</v>
      </c>
      <c r="D164" s="37" t="s">
        <v>399</v>
      </c>
    </row>
    <row r="165" spans="1:4" ht="14.25" customHeight="1" x14ac:dyDescent="0.3">
      <c r="A165" s="204">
        <v>40</v>
      </c>
      <c r="B165" s="186" t="s">
        <v>421</v>
      </c>
      <c r="C165" s="186" t="s">
        <v>408</v>
      </c>
      <c r="D165" s="43" t="s">
        <v>399</v>
      </c>
    </row>
    <row r="166" spans="1:4" ht="14.25" customHeight="1" x14ac:dyDescent="0.3"/>
    <row r="167" spans="1:4" ht="14.25" customHeight="1" x14ac:dyDescent="0.3"/>
    <row r="168" spans="1:4" ht="14.25" customHeight="1" x14ac:dyDescent="0.3"/>
    <row r="169" spans="1:4" ht="14.25" customHeight="1" x14ac:dyDescent="0.3"/>
    <row r="170" spans="1:4" ht="14.25" customHeight="1" x14ac:dyDescent="0.3"/>
    <row r="171" spans="1:4" ht="14.25" customHeight="1" x14ac:dyDescent="0.3"/>
    <row r="172" spans="1:4" ht="14.25" customHeight="1" x14ac:dyDescent="0.3"/>
    <row r="173" spans="1:4" ht="14.25" customHeight="1" x14ac:dyDescent="0.3"/>
    <row r="174" spans="1:4" ht="14.25" customHeight="1" x14ac:dyDescent="0.3"/>
    <row r="175" spans="1:4" ht="14.25" customHeight="1" x14ac:dyDescent="0.3"/>
    <row r="176" spans="1:4"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4.25" customHeight="1" x14ac:dyDescent="0.3"/>
    <row r="284" ht="14.25" customHeight="1" x14ac:dyDescent="0.3"/>
    <row r="285" ht="14.25" customHeight="1" x14ac:dyDescent="0.3"/>
    <row r="286" ht="14.25" customHeight="1" x14ac:dyDescent="0.3"/>
    <row r="287" ht="14.25" customHeight="1" x14ac:dyDescent="0.3"/>
    <row r="288" ht="14.25" customHeight="1" x14ac:dyDescent="0.3"/>
    <row r="289" ht="14.25" customHeight="1" x14ac:dyDescent="0.3"/>
    <row r="290" ht="14.25" customHeight="1" x14ac:dyDescent="0.3"/>
    <row r="291" ht="14.25" customHeight="1" x14ac:dyDescent="0.3"/>
    <row r="292" ht="14.25" customHeight="1" x14ac:dyDescent="0.3"/>
    <row r="293" ht="14.25" customHeight="1" x14ac:dyDescent="0.3"/>
    <row r="294" ht="14.25" customHeight="1" x14ac:dyDescent="0.3"/>
    <row r="295" ht="14.25" customHeight="1" x14ac:dyDescent="0.3"/>
    <row r="296" ht="14.25" customHeight="1" x14ac:dyDescent="0.3"/>
    <row r="297" ht="14.25" customHeight="1" x14ac:dyDescent="0.3"/>
    <row r="298" ht="14.25" customHeight="1" x14ac:dyDescent="0.3"/>
    <row r="299" ht="14.25" customHeight="1" x14ac:dyDescent="0.3"/>
    <row r="300" ht="14.25" customHeight="1" x14ac:dyDescent="0.3"/>
    <row r="301" ht="14.25" customHeight="1" x14ac:dyDescent="0.3"/>
    <row r="302" ht="14.25" customHeight="1" x14ac:dyDescent="0.3"/>
    <row r="303" ht="14.25" customHeight="1" x14ac:dyDescent="0.3"/>
    <row r="304" ht="14.25" customHeight="1" x14ac:dyDescent="0.3"/>
    <row r="305" ht="14.25" customHeight="1" x14ac:dyDescent="0.3"/>
    <row r="306" ht="14.25" customHeight="1" x14ac:dyDescent="0.3"/>
    <row r="307" ht="14.25" customHeight="1" x14ac:dyDescent="0.3"/>
    <row r="308" ht="14.25" customHeight="1" x14ac:dyDescent="0.3"/>
    <row r="309" ht="14.25" customHeight="1" x14ac:dyDescent="0.3"/>
    <row r="310" ht="14.25" customHeight="1" x14ac:dyDescent="0.3"/>
    <row r="311" ht="14.25" customHeight="1" x14ac:dyDescent="0.3"/>
    <row r="312" ht="14.25" customHeight="1" x14ac:dyDescent="0.3"/>
    <row r="313" ht="14.25" customHeight="1" x14ac:dyDescent="0.3"/>
    <row r="314" ht="14.25" customHeight="1" x14ac:dyDescent="0.3"/>
    <row r="315" ht="14.25" customHeight="1" x14ac:dyDescent="0.3"/>
    <row r="316" ht="14.25" customHeight="1" x14ac:dyDescent="0.3"/>
    <row r="317" ht="14.25" customHeight="1" x14ac:dyDescent="0.3"/>
    <row r="318" ht="14.25" customHeight="1" x14ac:dyDescent="0.3"/>
    <row r="319" ht="14.25" customHeight="1" x14ac:dyDescent="0.3"/>
    <row r="320" ht="14.25" customHeight="1" x14ac:dyDescent="0.3"/>
    <row r="321" ht="14.25" customHeight="1" x14ac:dyDescent="0.3"/>
    <row r="322" ht="14.25" customHeight="1" x14ac:dyDescent="0.3"/>
    <row r="323" ht="14.25" customHeight="1" x14ac:dyDescent="0.3"/>
    <row r="324" ht="14.25" customHeight="1" x14ac:dyDescent="0.3"/>
    <row r="325" ht="14.25" customHeight="1" x14ac:dyDescent="0.3"/>
    <row r="326" ht="14.25" customHeight="1" x14ac:dyDescent="0.3"/>
    <row r="327" ht="14.25" customHeight="1" x14ac:dyDescent="0.3"/>
    <row r="328" ht="14.25" customHeight="1" x14ac:dyDescent="0.3"/>
    <row r="329" ht="14.25" customHeight="1" x14ac:dyDescent="0.3"/>
    <row r="330" ht="14.25" customHeight="1" x14ac:dyDescent="0.3"/>
    <row r="331" ht="14.25" customHeight="1" x14ac:dyDescent="0.3"/>
    <row r="332" ht="14.25" customHeight="1" x14ac:dyDescent="0.3"/>
    <row r="333" ht="14.25" customHeight="1" x14ac:dyDescent="0.3"/>
    <row r="334" ht="14.25" customHeight="1" x14ac:dyDescent="0.3"/>
    <row r="335" ht="14.25" customHeight="1" x14ac:dyDescent="0.3"/>
    <row r="336" ht="14.25" customHeight="1" x14ac:dyDescent="0.3"/>
    <row r="337" ht="14.25" customHeight="1" x14ac:dyDescent="0.3"/>
    <row r="338" ht="14.25" customHeight="1" x14ac:dyDescent="0.3"/>
    <row r="339" ht="14.25" customHeight="1" x14ac:dyDescent="0.3"/>
    <row r="340" ht="14.25" customHeight="1" x14ac:dyDescent="0.3"/>
    <row r="341" ht="14.25" customHeight="1" x14ac:dyDescent="0.3"/>
    <row r="342" ht="14.25" customHeight="1" x14ac:dyDescent="0.3"/>
    <row r="343" ht="14.25" customHeight="1" x14ac:dyDescent="0.3"/>
    <row r="344" ht="14.25" customHeight="1" x14ac:dyDescent="0.3"/>
    <row r="345" ht="14.25" customHeight="1" x14ac:dyDescent="0.3"/>
    <row r="346" ht="14.25" customHeight="1" x14ac:dyDescent="0.3"/>
    <row r="347" ht="14.25" customHeight="1" x14ac:dyDescent="0.3"/>
    <row r="348" ht="14.25" customHeight="1" x14ac:dyDescent="0.3"/>
    <row r="349" ht="14.25" customHeight="1" x14ac:dyDescent="0.3"/>
    <row r="350" ht="14.25" customHeight="1" x14ac:dyDescent="0.3"/>
    <row r="351" ht="14.25" customHeight="1" x14ac:dyDescent="0.3"/>
    <row r="352" ht="14.25" customHeight="1" x14ac:dyDescent="0.3"/>
    <row r="353" ht="14.25" customHeight="1" x14ac:dyDescent="0.3"/>
    <row r="354" ht="14.25" customHeight="1" x14ac:dyDescent="0.3"/>
    <row r="355" ht="14.25" customHeight="1" x14ac:dyDescent="0.3"/>
    <row r="356" ht="14.25" customHeight="1" x14ac:dyDescent="0.3"/>
    <row r="357" ht="14.25" customHeight="1" x14ac:dyDescent="0.3"/>
    <row r="358" ht="14.25" customHeight="1" x14ac:dyDescent="0.3"/>
    <row r="359" ht="14.25" customHeight="1" x14ac:dyDescent="0.3"/>
    <row r="360" ht="14.25" customHeight="1" x14ac:dyDescent="0.3"/>
    <row r="361" ht="14.25" customHeight="1" x14ac:dyDescent="0.3"/>
    <row r="362" ht="14.25" customHeight="1" x14ac:dyDescent="0.3"/>
    <row r="363" ht="14.25" customHeight="1" x14ac:dyDescent="0.3"/>
    <row r="364" ht="14.25" customHeight="1" x14ac:dyDescent="0.3"/>
    <row r="365" ht="14.2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Hoja3"/>
  <dimension ref="A1:L1000"/>
  <sheetViews>
    <sheetView workbookViewId="0"/>
  </sheetViews>
  <sheetFormatPr baseColWidth="10" defaultColWidth="14.44140625" defaultRowHeight="15" customHeight="1" x14ac:dyDescent="0.3"/>
  <cols>
    <col min="1" max="1" width="8.88671875" customWidth="1"/>
    <col min="2" max="2" width="14.5546875" customWidth="1"/>
    <col min="3" max="3" width="8.88671875" customWidth="1"/>
    <col min="4" max="4" width="15.33203125" customWidth="1"/>
    <col min="5" max="5" width="12.6640625" customWidth="1"/>
    <col min="6" max="6" width="8.88671875" customWidth="1"/>
    <col min="7" max="7" width="21.5546875" customWidth="1"/>
    <col min="8" max="8" width="9.88671875" customWidth="1"/>
    <col min="9" max="9" width="32.33203125" customWidth="1"/>
    <col min="10" max="10" width="37.109375" customWidth="1"/>
    <col min="11" max="11" width="17.44140625" customWidth="1"/>
    <col min="12" max="12" width="71.109375" customWidth="1"/>
  </cols>
  <sheetData>
    <row r="1" spans="1:12" ht="14.25" customHeight="1" x14ac:dyDescent="0.3">
      <c r="A1" s="260" t="s">
        <v>646</v>
      </c>
      <c r="B1" s="260"/>
      <c r="C1" s="260"/>
      <c r="D1" s="260"/>
      <c r="E1" s="260"/>
      <c r="F1" s="260"/>
    </row>
    <row r="2" spans="1:12" ht="14.25" customHeight="1" x14ac:dyDescent="0.3">
      <c r="A2" s="228" t="s">
        <v>385</v>
      </c>
      <c r="B2" s="261" t="s">
        <v>386</v>
      </c>
      <c r="C2" s="261" t="s">
        <v>5</v>
      </c>
      <c r="D2" s="201" t="s">
        <v>647</v>
      </c>
      <c r="E2" s="261" t="s">
        <v>648</v>
      </c>
      <c r="F2" s="262" t="s">
        <v>649</v>
      </c>
      <c r="G2" s="167" t="s">
        <v>650</v>
      </c>
      <c r="H2" s="263" t="s">
        <v>649</v>
      </c>
      <c r="I2" s="167" t="s">
        <v>651</v>
      </c>
      <c r="J2" s="169" t="s">
        <v>649</v>
      </c>
      <c r="L2" s="152" t="s">
        <v>652</v>
      </c>
    </row>
    <row r="3" spans="1:12" ht="34.5" customHeight="1" x14ac:dyDescent="0.3">
      <c r="A3" s="40">
        <v>1</v>
      </c>
      <c r="B3" s="175" t="s">
        <v>393</v>
      </c>
      <c r="C3" s="175" t="s">
        <v>394</v>
      </c>
      <c r="D3" s="175" t="s">
        <v>187</v>
      </c>
      <c r="E3" s="175">
        <v>300</v>
      </c>
      <c r="F3" s="264" t="s">
        <v>150</v>
      </c>
      <c r="G3" s="170">
        <v>400</v>
      </c>
      <c r="H3" s="265" t="s">
        <v>150</v>
      </c>
      <c r="I3" s="170" t="s">
        <v>653</v>
      </c>
      <c r="J3" s="172" t="s">
        <v>654</v>
      </c>
      <c r="L3" s="158" t="s">
        <v>655</v>
      </c>
    </row>
    <row r="4" spans="1:12" ht="14.25" customHeight="1" x14ac:dyDescent="0.3">
      <c r="A4" s="40">
        <v>2</v>
      </c>
      <c r="B4" s="175" t="s">
        <v>393</v>
      </c>
      <c r="C4" s="175" t="s">
        <v>154</v>
      </c>
      <c r="D4" s="175" t="s">
        <v>187</v>
      </c>
      <c r="E4" s="175">
        <v>300</v>
      </c>
      <c r="F4" s="264" t="s">
        <v>150</v>
      </c>
      <c r="G4" s="40">
        <v>400</v>
      </c>
      <c r="H4" s="264" t="s">
        <v>150</v>
      </c>
      <c r="I4" s="40" t="s">
        <v>653</v>
      </c>
      <c r="J4" s="37" t="s">
        <v>654</v>
      </c>
    </row>
    <row r="5" spans="1:12" ht="14.25" customHeight="1" x14ac:dyDescent="0.3">
      <c r="A5" s="40">
        <v>3</v>
      </c>
      <c r="B5" s="175" t="s">
        <v>393</v>
      </c>
      <c r="C5" s="175" t="s">
        <v>398</v>
      </c>
      <c r="D5" s="175" t="s">
        <v>187</v>
      </c>
      <c r="E5" s="175">
        <v>300</v>
      </c>
      <c r="F5" s="264" t="s">
        <v>150</v>
      </c>
      <c r="G5" s="40">
        <v>400</v>
      </c>
      <c r="H5" s="264" t="s">
        <v>150</v>
      </c>
      <c r="I5" s="40" t="s">
        <v>653</v>
      </c>
      <c r="J5" s="37" t="s">
        <v>654</v>
      </c>
    </row>
    <row r="6" spans="1:12" ht="14.25" customHeight="1" x14ac:dyDescent="0.3">
      <c r="A6" s="40">
        <v>4</v>
      </c>
      <c r="B6" s="175" t="s">
        <v>393</v>
      </c>
      <c r="C6" s="175" t="s">
        <v>402</v>
      </c>
      <c r="D6" s="175" t="s">
        <v>187</v>
      </c>
      <c r="E6" s="175">
        <v>300</v>
      </c>
      <c r="F6" s="264" t="s">
        <v>153</v>
      </c>
      <c r="G6" s="40">
        <v>400</v>
      </c>
      <c r="H6" s="264" t="s">
        <v>150</v>
      </c>
      <c r="I6" s="40" t="s">
        <v>653</v>
      </c>
      <c r="J6" s="37" t="s">
        <v>654</v>
      </c>
    </row>
    <row r="7" spans="1:12" ht="14.25" customHeight="1" x14ac:dyDescent="0.3">
      <c r="A7" s="40">
        <v>5</v>
      </c>
      <c r="B7" s="175" t="s">
        <v>393</v>
      </c>
      <c r="C7" s="175" t="s">
        <v>343</v>
      </c>
      <c r="D7" s="175" t="s">
        <v>187</v>
      </c>
      <c r="E7" s="175">
        <v>300</v>
      </c>
      <c r="F7" s="264" t="s">
        <v>150</v>
      </c>
      <c r="G7" s="40">
        <v>400</v>
      </c>
      <c r="H7" s="264" t="s">
        <v>150</v>
      </c>
      <c r="I7" s="40" t="s">
        <v>653</v>
      </c>
      <c r="J7" s="37" t="s">
        <v>654</v>
      </c>
    </row>
    <row r="8" spans="1:12" ht="14.25" customHeight="1" x14ac:dyDescent="0.3">
      <c r="A8" s="40">
        <v>6</v>
      </c>
      <c r="B8" s="175" t="s">
        <v>393</v>
      </c>
      <c r="C8" s="175" t="s">
        <v>160</v>
      </c>
      <c r="D8" s="175" t="s">
        <v>187</v>
      </c>
      <c r="E8" s="175">
        <v>300</v>
      </c>
      <c r="F8" s="264" t="s">
        <v>150</v>
      </c>
      <c r="G8" s="40">
        <v>400</v>
      </c>
      <c r="H8" s="264" t="s">
        <v>150</v>
      </c>
      <c r="I8" s="40" t="s">
        <v>653</v>
      </c>
      <c r="J8" s="37" t="s">
        <v>654</v>
      </c>
    </row>
    <row r="9" spans="1:12" ht="14.25" customHeight="1" x14ac:dyDescent="0.3">
      <c r="A9" s="40">
        <v>7</v>
      </c>
      <c r="B9" s="175" t="s">
        <v>393</v>
      </c>
      <c r="C9" s="175" t="s">
        <v>407</v>
      </c>
      <c r="D9" s="175" t="s">
        <v>187</v>
      </c>
      <c r="E9" s="175">
        <v>300</v>
      </c>
      <c r="F9" s="264" t="s">
        <v>150</v>
      </c>
      <c r="G9" s="40">
        <v>400</v>
      </c>
      <c r="H9" s="264" t="s">
        <v>150</v>
      </c>
      <c r="I9" s="40" t="s">
        <v>653</v>
      </c>
      <c r="J9" s="37" t="s">
        <v>654</v>
      </c>
    </row>
    <row r="10" spans="1:12" ht="14.25" customHeight="1" x14ac:dyDescent="0.3">
      <c r="A10" s="40">
        <v>8</v>
      </c>
      <c r="B10" s="175" t="s">
        <v>393</v>
      </c>
      <c r="C10" s="175" t="s">
        <v>408</v>
      </c>
      <c r="D10" s="175" t="s">
        <v>187</v>
      </c>
      <c r="E10" s="175">
        <v>300</v>
      </c>
      <c r="F10" s="264" t="s">
        <v>150</v>
      </c>
      <c r="G10" s="40">
        <v>400</v>
      </c>
      <c r="H10" s="264" t="s">
        <v>150</v>
      </c>
      <c r="I10" s="40" t="s">
        <v>653</v>
      </c>
      <c r="J10" s="37" t="s">
        <v>654</v>
      </c>
    </row>
    <row r="11" spans="1:12" ht="14.25" customHeight="1" x14ac:dyDescent="0.3">
      <c r="A11" s="40">
        <v>9</v>
      </c>
      <c r="B11" s="175" t="s">
        <v>409</v>
      </c>
      <c r="C11" s="175" t="s">
        <v>394</v>
      </c>
      <c r="D11" s="175" t="s">
        <v>187</v>
      </c>
      <c r="E11" s="175">
        <v>300</v>
      </c>
      <c r="F11" s="264" t="s">
        <v>150</v>
      </c>
      <c r="G11" s="40">
        <v>400</v>
      </c>
      <c r="H11" s="264" t="s">
        <v>150</v>
      </c>
      <c r="I11" s="40" t="s">
        <v>653</v>
      </c>
      <c r="J11" s="37" t="s">
        <v>654</v>
      </c>
    </row>
    <row r="12" spans="1:12" ht="14.25" customHeight="1" x14ac:dyDescent="0.3">
      <c r="A12" s="40">
        <v>10</v>
      </c>
      <c r="B12" s="175" t="s">
        <v>409</v>
      </c>
      <c r="C12" s="175" t="s">
        <v>154</v>
      </c>
      <c r="D12" s="175" t="s">
        <v>187</v>
      </c>
      <c r="E12" s="175">
        <v>300</v>
      </c>
      <c r="F12" s="264" t="s">
        <v>150</v>
      </c>
      <c r="G12" s="40">
        <v>400</v>
      </c>
      <c r="H12" s="264" t="s">
        <v>150</v>
      </c>
      <c r="I12" s="40" t="s">
        <v>653</v>
      </c>
      <c r="J12" s="37" t="s">
        <v>654</v>
      </c>
    </row>
    <row r="13" spans="1:12" ht="14.25" customHeight="1" x14ac:dyDescent="0.3">
      <c r="A13" s="40">
        <v>11</v>
      </c>
      <c r="B13" s="175" t="s">
        <v>409</v>
      </c>
      <c r="C13" s="175" t="s">
        <v>398</v>
      </c>
      <c r="D13" s="175" t="s">
        <v>187</v>
      </c>
      <c r="E13" s="175">
        <v>300</v>
      </c>
      <c r="F13" s="264" t="s">
        <v>150</v>
      </c>
      <c r="G13" s="40">
        <v>400</v>
      </c>
      <c r="H13" s="264" t="s">
        <v>150</v>
      </c>
      <c r="I13" s="40" t="s">
        <v>653</v>
      </c>
      <c r="J13" s="37" t="s">
        <v>654</v>
      </c>
    </row>
    <row r="14" spans="1:12" ht="14.25" customHeight="1" x14ac:dyDescent="0.3">
      <c r="A14" s="40">
        <v>12</v>
      </c>
      <c r="B14" s="175" t="s">
        <v>409</v>
      </c>
      <c r="C14" s="175" t="s">
        <v>402</v>
      </c>
      <c r="D14" s="175" t="s">
        <v>187</v>
      </c>
      <c r="E14" s="175">
        <v>300</v>
      </c>
      <c r="F14" s="264" t="s">
        <v>153</v>
      </c>
      <c r="G14" s="40">
        <v>400</v>
      </c>
      <c r="H14" s="264" t="s">
        <v>150</v>
      </c>
      <c r="I14" s="40" t="s">
        <v>653</v>
      </c>
      <c r="J14" s="37" t="s">
        <v>654</v>
      </c>
    </row>
    <row r="15" spans="1:12" ht="14.25" customHeight="1" x14ac:dyDescent="0.3">
      <c r="A15" s="40">
        <v>13</v>
      </c>
      <c r="B15" s="175" t="s">
        <v>409</v>
      </c>
      <c r="C15" s="175" t="s">
        <v>343</v>
      </c>
      <c r="D15" s="175" t="s">
        <v>187</v>
      </c>
      <c r="E15" s="175">
        <v>300</v>
      </c>
      <c r="F15" s="264" t="s">
        <v>150</v>
      </c>
      <c r="G15" s="40">
        <v>400</v>
      </c>
      <c r="H15" s="264" t="s">
        <v>150</v>
      </c>
      <c r="I15" s="40" t="s">
        <v>653</v>
      </c>
      <c r="J15" s="37" t="s">
        <v>654</v>
      </c>
    </row>
    <row r="16" spans="1:12" ht="14.25" customHeight="1" x14ac:dyDescent="0.3">
      <c r="A16" s="40">
        <v>14</v>
      </c>
      <c r="B16" s="175" t="s">
        <v>409</v>
      </c>
      <c r="C16" s="175" t="s">
        <v>160</v>
      </c>
      <c r="D16" s="175" t="s">
        <v>187</v>
      </c>
      <c r="E16" s="175">
        <v>300</v>
      </c>
      <c r="F16" s="264" t="s">
        <v>150</v>
      </c>
      <c r="G16" s="40">
        <v>400</v>
      </c>
      <c r="H16" s="264" t="s">
        <v>150</v>
      </c>
      <c r="I16" s="40" t="s">
        <v>653</v>
      </c>
      <c r="J16" s="37" t="s">
        <v>654</v>
      </c>
    </row>
    <row r="17" spans="1:10" ht="14.25" customHeight="1" x14ac:dyDescent="0.3">
      <c r="A17" s="40">
        <v>15</v>
      </c>
      <c r="B17" s="175" t="s">
        <v>409</v>
      </c>
      <c r="C17" s="175" t="s">
        <v>407</v>
      </c>
      <c r="D17" s="175" t="s">
        <v>187</v>
      </c>
      <c r="E17" s="175">
        <v>300</v>
      </c>
      <c r="F17" s="264" t="s">
        <v>150</v>
      </c>
      <c r="G17" s="40">
        <v>400</v>
      </c>
      <c r="H17" s="264" t="s">
        <v>150</v>
      </c>
      <c r="I17" s="40" t="s">
        <v>653</v>
      </c>
      <c r="J17" s="37" t="s">
        <v>654</v>
      </c>
    </row>
    <row r="18" spans="1:10" ht="14.25" customHeight="1" x14ac:dyDescent="0.3">
      <c r="A18" s="40">
        <v>16</v>
      </c>
      <c r="B18" s="175" t="s">
        <v>409</v>
      </c>
      <c r="C18" s="175" t="s">
        <v>408</v>
      </c>
      <c r="D18" s="175" t="s">
        <v>187</v>
      </c>
      <c r="E18" s="175">
        <v>300</v>
      </c>
      <c r="F18" s="264" t="s">
        <v>150</v>
      </c>
      <c r="G18" s="40">
        <v>400</v>
      </c>
      <c r="H18" s="264" t="s">
        <v>150</v>
      </c>
      <c r="I18" s="40" t="s">
        <v>653</v>
      </c>
      <c r="J18" s="37" t="s">
        <v>654</v>
      </c>
    </row>
    <row r="19" spans="1:10" ht="14.25" customHeight="1" x14ac:dyDescent="0.3">
      <c r="A19" s="40">
        <v>17</v>
      </c>
      <c r="B19" s="175" t="s">
        <v>138</v>
      </c>
      <c r="C19" s="175" t="s">
        <v>394</v>
      </c>
      <c r="D19" s="175" t="s">
        <v>187</v>
      </c>
      <c r="E19" s="175">
        <v>0</v>
      </c>
      <c r="F19" s="264" t="s">
        <v>151</v>
      </c>
      <c r="G19" s="40">
        <v>400</v>
      </c>
      <c r="H19" s="264" t="s">
        <v>150</v>
      </c>
      <c r="I19" s="40" t="s">
        <v>653</v>
      </c>
      <c r="J19" s="37" t="s">
        <v>654</v>
      </c>
    </row>
    <row r="20" spans="1:10" ht="14.25" customHeight="1" x14ac:dyDescent="0.3">
      <c r="A20" s="40">
        <v>18</v>
      </c>
      <c r="B20" s="175" t="s">
        <v>138</v>
      </c>
      <c r="C20" s="175" t="s">
        <v>154</v>
      </c>
      <c r="D20" s="175" t="s">
        <v>187</v>
      </c>
      <c r="E20" s="175">
        <v>3000</v>
      </c>
      <c r="F20" s="264" t="s">
        <v>150</v>
      </c>
      <c r="G20" s="40">
        <v>400</v>
      </c>
      <c r="H20" s="264" t="s">
        <v>150</v>
      </c>
      <c r="I20" s="40" t="s">
        <v>653</v>
      </c>
      <c r="J20" s="37" t="s">
        <v>654</v>
      </c>
    </row>
    <row r="21" spans="1:10" ht="14.25" customHeight="1" x14ac:dyDescent="0.3">
      <c r="A21" s="40">
        <v>19</v>
      </c>
      <c r="B21" s="175" t="s">
        <v>138</v>
      </c>
      <c r="C21" s="175" t="s">
        <v>398</v>
      </c>
      <c r="D21" s="175" t="s">
        <v>187</v>
      </c>
      <c r="E21" s="175">
        <v>2000</v>
      </c>
      <c r="F21" s="264" t="s">
        <v>150</v>
      </c>
      <c r="G21" s="40">
        <v>400</v>
      </c>
      <c r="H21" s="264" t="s">
        <v>150</v>
      </c>
      <c r="I21" s="40" t="s">
        <v>653</v>
      </c>
      <c r="J21" s="37" t="s">
        <v>654</v>
      </c>
    </row>
    <row r="22" spans="1:10" ht="14.25" customHeight="1" x14ac:dyDescent="0.3">
      <c r="A22" s="40">
        <v>20</v>
      </c>
      <c r="B22" s="175" t="s">
        <v>138</v>
      </c>
      <c r="C22" s="175" t="s">
        <v>402</v>
      </c>
      <c r="D22" s="175" t="s">
        <v>187</v>
      </c>
      <c r="E22" s="175">
        <v>2000</v>
      </c>
      <c r="F22" s="264" t="s">
        <v>153</v>
      </c>
      <c r="G22" s="40">
        <v>400</v>
      </c>
      <c r="H22" s="264" t="s">
        <v>150</v>
      </c>
      <c r="I22" s="40" t="s">
        <v>653</v>
      </c>
      <c r="J22" s="37" t="s">
        <v>654</v>
      </c>
    </row>
    <row r="23" spans="1:10" ht="14.25" customHeight="1" x14ac:dyDescent="0.3">
      <c r="A23" s="40">
        <v>21</v>
      </c>
      <c r="B23" s="175" t="s">
        <v>138</v>
      </c>
      <c r="C23" s="175" t="s">
        <v>343</v>
      </c>
      <c r="D23" s="175" t="s">
        <v>187</v>
      </c>
      <c r="E23" s="175">
        <v>2000</v>
      </c>
      <c r="F23" s="264" t="s">
        <v>150</v>
      </c>
      <c r="G23" s="40">
        <v>400</v>
      </c>
      <c r="H23" s="264" t="s">
        <v>150</v>
      </c>
      <c r="I23" s="40" t="s">
        <v>653</v>
      </c>
      <c r="J23" s="37" t="s">
        <v>654</v>
      </c>
    </row>
    <row r="24" spans="1:10" ht="14.25" customHeight="1" x14ac:dyDescent="0.3">
      <c r="A24" s="40">
        <v>22</v>
      </c>
      <c r="B24" s="175" t="s">
        <v>138</v>
      </c>
      <c r="C24" s="175" t="s">
        <v>160</v>
      </c>
      <c r="D24" s="175" t="s">
        <v>187</v>
      </c>
      <c r="E24" s="175">
        <v>1000</v>
      </c>
      <c r="F24" s="264" t="s">
        <v>150</v>
      </c>
      <c r="G24" s="40">
        <v>400</v>
      </c>
      <c r="H24" s="264" t="s">
        <v>150</v>
      </c>
      <c r="I24" s="40" t="s">
        <v>653</v>
      </c>
      <c r="J24" s="37" t="s">
        <v>654</v>
      </c>
    </row>
    <row r="25" spans="1:10" ht="14.25" customHeight="1" x14ac:dyDescent="0.3">
      <c r="A25" s="40">
        <v>23</v>
      </c>
      <c r="B25" s="175" t="s">
        <v>138</v>
      </c>
      <c r="C25" s="175" t="s">
        <v>407</v>
      </c>
      <c r="D25" s="175" t="s">
        <v>187</v>
      </c>
      <c r="E25" s="175">
        <v>1000</v>
      </c>
      <c r="F25" s="264" t="s">
        <v>150</v>
      </c>
      <c r="G25" s="40">
        <v>400</v>
      </c>
      <c r="H25" s="264" t="s">
        <v>150</v>
      </c>
      <c r="I25" s="40" t="s">
        <v>653</v>
      </c>
      <c r="J25" s="37" t="s">
        <v>654</v>
      </c>
    </row>
    <row r="26" spans="1:10" ht="14.25" customHeight="1" x14ac:dyDescent="0.3">
      <c r="A26" s="40">
        <v>24</v>
      </c>
      <c r="B26" s="175" t="s">
        <v>138</v>
      </c>
      <c r="C26" s="175" t="s">
        <v>408</v>
      </c>
      <c r="D26" s="175" t="s">
        <v>187</v>
      </c>
      <c r="E26" s="175">
        <v>1000</v>
      </c>
      <c r="F26" s="264" t="s">
        <v>150</v>
      </c>
      <c r="G26" s="40">
        <v>400</v>
      </c>
      <c r="H26" s="264" t="s">
        <v>150</v>
      </c>
      <c r="I26" s="40" t="s">
        <v>653</v>
      </c>
      <c r="J26" s="37" t="s">
        <v>654</v>
      </c>
    </row>
    <row r="27" spans="1:10" ht="14.25" customHeight="1" x14ac:dyDescent="0.3">
      <c r="A27" s="40">
        <v>25</v>
      </c>
      <c r="B27" s="175" t="s">
        <v>155</v>
      </c>
      <c r="C27" s="175" t="s">
        <v>394</v>
      </c>
      <c r="D27" s="175" t="s">
        <v>187</v>
      </c>
      <c r="E27" s="175">
        <v>0</v>
      </c>
      <c r="F27" s="264" t="s">
        <v>151</v>
      </c>
      <c r="G27" s="40">
        <v>400</v>
      </c>
      <c r="H27" s="264" t="s">
        <v>150</v>
      </c>
      <c r="I27" s="40" t="s">
        <v>653</v>
      </c>
      <c r="J27" s="37" t="s">
        <v>654</v>
      </c>
    </row>
    <row r="28" spans="1:10" ht="14.25" customHeight="1" x14ac:dyDescent="0.3">
      <c r="A28" s="40">
        <v>26</v>
      </c>
      <c r="B28" s="175" t="s">
        <v>155</v>
      </c>
      <c r="C28" s="175" t="s">
        <v>154</v>
      </c>
      <c r="D28" s="175" t="s">
        <v>187</v>
      </c>
      <c r="E28" s="175">
        <v>4000</v>
      </c>
      <c r="F28" s="264" t="s">
        <v>150</v>
      </c>
      <c r="G28" s="40">
        <v>400</v>
      </c>
      <c r="H28" s="264" t="s">
        <v>150</v>
      </c>
      <c r="I28" s="40" t="s">
        <v>653</v>
      </c>
      <c r="J28" s="37" t="s">
        <v>654</v>
      </c>
    </row>
    <row r="29" spans="1:10" ht="14.25" customHeight="1" x14ac:dyDescent="0.3">
      <c r="A29" s="40">
        <v>27</v>
      </c>
      <c r="B29" s="175" t="s">
        <v>155</v>
      </c>
      <c r="C29" s="175" t="s">
        <v>398</v>
      </c>
      <c r="D29" s="175" t="s">
        <v>187</v>
      </c>
      <c r="E29" s="175">
        <v>3000</v>
      </c>
      <c r="F29" s="264" t="s">
        <v>150</v>
      </c>
      <c r="G29" s="40">
        <v>400</v>
      </c>
      <c r="H29" s="264" t="s">
        <v>150</v>
      </c>
      <c r="I29" s="40" t="s">
        <v>653</v>
      </c>
      <c r="J29" s="37" t="s">
        <v>654</v>
      </c>
    </row>
    <row r="30" spans="1:10" ht="14.25" customHeight="1" x14ac:dyDescent="0.3">
      <c r="A30" s="40">
        <v>28</v>
      </c>
      <c r="B30" s="175" t="s">
        <v>155</v>
      </c>
      <c r="C30" s="175" t="s">
        <v>402</v>
      </c>
      <c r="D30" s="175" t="s">
        <v>187</v>
      </c>
      <c r="E30" s="175">
        <v>3000</v>
      </c>
      <c r="F30" s="264" t="s">
        <v>150</v>
      </c>
      <c r="G30" s="40">
        <v>400</v>
      </c>
      <c r="H30" s="264" t="s">
        <v>150</v>
      </c>
      <c r="I30" s="40" t="s">
        <v>653</v>
      </c>
      <c r="J30" s="37" t="s">
        <v>654</v>
      </c>
    </row>
    <row r="31" spans="1:10" ht="14.25" customHeight="1" x14ac:dyDescent="0.3">
      <c r="A31" s="40">
        <v>29</v>
      </c>
      <c r="B31" s="175" t="s">
        <v>155</v>
      </c>
      <c r="C31" s="175" t="s">
        <v>343</v>
      </c>
      <c r="D31" s="175" t="s">
        <v>187</v>
      </c>
      <c r="E31" s="175">
        <v>3000</v>
      </c>
      <c r="F31" s="264" t="s">
        <v>150</v>
      </c>
      <c r="G31" s="40">
        <v>400</v>
      </c>
      <c r="H31" s="264" t="s">
        <v>150</v>
      </c>
      <c r="I31" s="40" t="s">
        <v>653</v>
      </c>
      <c r="J31" s="37" t="s">
        <v>654</v>
      </c>
    </row>
    <row r="32" spans="1:10" ht="14.25" customHeight="1" x14ac:dyDescent="0.3">
      <c r="A32" s="40">
        <v>30</v>
      </c>
      <c r="B32" s="175" t="s">
        <v>155</v>
      </c>
      <c r="C32" s="175" t="s">
        <v>160</v>
      </c>
      <c r="D32" s="175" t="s">
        <v>187</v>
      </c>
      <c r="E32" s="175">
        <v>2000</v>
      </c>
      <c r="F32" s="264" t="s">
        <v>150</v>
      </c>
      <c r="G32" s="40">
        <v>400</v>
      </c>
      <c r="H32" s="264" t="s">
        <v>150</v>
      </c>
      <c r="I32" s="40" t="s">
        <v>653</v>
      </c>
      <c r="J32" s="37" t="s">
        <v>654</v>
      </c>
    </row>
    <row r="33" spans="1:10" ht="14.25" customHeight="1" x14ac:dyDescent="0.3">
      <c r="A33" s="40">
        <v>31</v>
      </c>
      <c r="B33" s="175" t="s">
        <v>155</v>
      </c>
      <c r="C33" s="175" t="s">
        <v>407</v>
      </c>
      <c r="D33" s="175" t="s">
        <v>187</v>
      </c>
      <c r="E33" s="175">
        <v>2000</v>
      </c>
      <c r="F33" s="264" t="s">
        <v>150</v>
      </c>
      <c r="G33" s="40">
        <v>400</v>
      </c>
      <c r="H33" s="264" t="s">
        <v>150</v>
      </c>
      <c r="I33" s="40" t="s">
        <v>653</v>
      </c>
      <c r="J33" s="37" t="s">
        <v>654</v>
      </c>
    </row>
    <row r="34" spans="1:10" ht="14.25" customHeight="1" x14ac:dyDescent="0.3">
      <c r="A34" s="40">
        <v>32</v>
      </c>
      <c r="B34" s="175" t="s">
        <v>155</v>
      </c>
      <c r="C34" s="175" t="s">
        <v>408</v>
      </c>
      <c r="D34" s="175" t="s">
        <v>187</v>
      </c>
      <c r="E34" s="175">
        <v>2000</v>
      </c>
      <c r="F34" s="264" t="s">
        <v>150</v>
      </c>
      <c r="G34" s="40">
        <v>400</v>
      </c>
      <c r="H34" s="264" t="s">
        <v>150</v>
      </c>
      <c r="I34" s="40" t="s">
        <v>653</v>
      </c>
      <c r="J34" s="37" t="s">
        <v>654</v>
      </c>
    </row>
    <row r="35" spans="1:10" ht="14.25" customHeight="1" x14ac:dyDescent="0.3">
      <c r="A35" s="40">
        <v>33</v>
      </c>
      <c r="B35" s="175" t="s">
        <v>393</v>
      </c>
      <c r="C35" s="175" t="s">
        <v>394</v>
      </c>
      <c r="D35" s="175" t="s">
        <v>140</v>
      </c>
      <c r="E35" s="175">
        <v>150</v>
      </c>
      <c r="F35" s="264" t="s">
        <v>150</v>
      </c>
      <c r="G35" s="170">
        <v>400</v>
      </c>
      <c r="H35" s="265" t="s">
        <v>150</v>
      </c>
      <c r="I35" s="170" t="s">
        <v>653</v>
      </c>
      <c r="J35" s="172" t="s">
        <v>654</v>
      </c>
    </row>
    <row r="36" spans="1:10" ht="14.25" customHeight="1" x14ac:dyDescent="0.3">
      <c r="A36" s="40">
        <v>34</v>
      </c>
      <c r="B36" s="175" t="s">
        <v>393</v>
      </c>
      <c r="C36" s="175" t="s">
        <v>154</v>
      </c>
      <c r="D36" s="175" t="s">
        <v>140</v>
      </c>
      <c r="E36" s="175">
        <v>150</v>
      </c>
      <c r="F36" s="264" t="s">
        <v>150</v>
      </c>
      <c r="G36" s="40">
        <v>400</v>
      </c>
      <c r="H36" s="264" t="s">
        <v>150</v>
      </c>
      <c r="I36" s="40" t="s">
        <v>653</v>
      </c>
      <c r="J36" s="37" t="s">
        <v>654</v>
      </c>
    </row>
    <row r="37" spans="1:10" ht="14.25" customHeight="1" x14ac:dyDescent="0.3">
      <c r="A37" s="40">
        <v>35</v>
      </c>
      <c r="B37" s="175" t="s">
        <v>393</v>
      </c>
      <c r="C37" s="175" t="s">
        <v>398</v>
      </c>
      <c r="D37" s="175" t="s">
        <v>140</v>
      </c>
      <c r="E37" s="175">
        <v>150</v>
      </c>
      <c r="F37" s="264" t="s">
        <v>150</v>
      </c>
      <c r="G37" s="40">
        <v>400</v>
      </c>
      <c r="H37" s="264" t="s">
        <v>150</v>
      </c>
      <c r="I37" s="40" t="s">
        <v>653</v>
      </c>
      <c r="J37" s="37" t="s">
        <v>654</v>
      </c>
    </row>
    <row r="38" spans="1:10" ht="14.25" customHeight="1" x14ac:dyDescent="0.3">
      <c r="A38" s="40">
        <v>36</v>
      </c>
      <c r="B38" s="175" t="s">
        <v>393</v>
      </c>
      <c r="C38" s="175" t="s">
        <v>402</v>
      </c>
      <c r="D38" s="175" t="s">
        <v>140</v>
      </c>
      <c r="E38" s="175">
        <v>150</v>
      </c>
      <c r="F38" s="264" t="s">
        <v>153</v>
      </c>
      <c r="G38" s="40">
        <v>400</v>
      </c>
      <c r="H38" s="264" t="s">
        <v>150</v>
      </c>
      <c r="I38" s="40" t="s">
        <v>653</v>
      </c>
      <c r="J38" s="37" t="s">
        <v>654</v>
      </c>
    </row>
    <row r="39" spans="1:10" ht="14.25" customHeight="1" x14ac:dyDescent="0.3">
      <c r="A39" s="40">
        <v>37</v>
      </c>
      <c r="B39" s="175" t="s">
        <v>393</v>
      </c>
      <c r="C39" s="175" t="s">
        <v>343</v>
      </c>
      <c r="D39" s="175" t="s">
        <v>140</v>
      </c>
      <c r="E39" s="175">
        <v>150</v>
      </c>
      <c r="F39" s="264" t="s">
        <v>150</v>
      </c>
      <c r="G39" s="40">
        <v>400</v>
      </c>
      <c r="H39" s="264" t="s">
        <v>150</v>
      </c>
      <c r="I39" s="40" t="s">
        <v>653</v>
      </c>
      <c r="J39" s="37" t="s">
        <v>654</v>
      </c>
    </row>
    <row r="40" spans="1:10" ht="14.25" customHeight="1" x14ac:dyDescent="0.3">
      <c r="A40" s="40">
        <v>38</v>
      </c>
      <c r="B40" s="175" t="s">
        <v>393</v>
      </c>
      <c r="C40" s="175" t="s">
        <v>160</v>
      </c>
      <c r="D40" s="175" t="s">
        <v>140</v>
      </c>
      <c r="E40" s="175">
        <v>150</v>
      </c>
      <c r="F40" s="264" t="s">
        <v>150</v>
      </c>
      <c r="G40" s="40">
        <v>400</v>
      </c>
      <c r="H40" s="264" t="s">
        <v>150</v>
      </c>
      <c r="I40" s="40" t="s">
        <v>653</v>
      </c>
      <c r="J40" s="37" t="s">
        <v>654</v>
      </c>
    </row>
    <row r="41" spans="1:10" ht="14.25" customHeight="1" x14ac:dyDescent="0.3">
      <c r="A41" s="40">
        <v>39</v>
      </c>
      <c r="B41" s="175" t="s">
        <v>393</v>
      </c>
      <c r="C41" s="175" t="s">
        <v>407</v>
      </c>
      <c r="D41" s="175" t="s">
        <v>140</v>
      </c>
      <c r="E41" s="175">
        <v>150</v>
      </c>
      <c r="F41" s="264" t="s">
        <v>150</v>
      </c>
      <c r="G41" s="40">
        <v>400</v>
      </c>
      <c r="H41" s="264" t="s">
        <v>150</v>
      </c>
      <c r="I41" s="40" t="s">
        <v>653</v>
      </c>
      <c r="J41" s="37" t="s">
        <v>654</v>
      </c>
    </row>
    <row r="42" spans="1:10" ht="14.25" customHeight="1" x14ac:dyDescent="0.3">
      <c r="A42" s="40">
        <v>40</v>
      </c>
      <c r="B42" s="175" t="s">
        <v>393</v>
      </c>
      <c r="C42" s="175" t="s">
        <v>408</v>
      </c>
      <c r="D42" s="175" t="s">
        <v>140</v>
      </c>
      <c r="E42" s="175">
        <v>150</v>
      </c>
      <c r="F42" s="264" t="s">
        <v>150</v>
      </c>
      <c r="G42" s="40">
        <v>400</v>
      </c>
      <c r="H42" s="264" t="s">
        <v>150</v>
      </c>
      <c r="I42" s="40" t="s">
        <v>653</v>
      </c>
      <c r="J42" s="37" t="s">
        <v>654</v>
      </c>
    </row>
    <row r="43" spans="1:10" ht="14.25" customHeight="1" x14ac:dyDescent="0.3">
      <c r="A43" s="40">
        <v>41</v>
      </c>
      <c r="B43" s="175" t="s">
        <v>409</v>
      </c>
      <c r="C43" s="175" t="s">
        <v>394</v>
      </c>
      <c r="D43" s="175" t="s">
        <v>140</v>
      </c>
      <c r="E43" s="175">
        <v>150</v>
      </c>
      <c r="F43" s="264" t="s">
        <v>150</v>
      </c>
      <c r="G43" s="40">
        <v>400</v>
      </c>
      <c r="H43" s="264" t="s">
        <v>150</v>
      </c>
      <c r="I43" s="40" t="s">
        <v>653</v>
      </c>
      <c r="J43" s="37" t="s">
        <v>654</v>
      </c>
    </row>
    <row r="44" spans="1:10" ht="14.25" customHeight="1" x14ac:dyDescent="0.3">
      <c r="A44" s="40">
        <v>42</v>
      </c>
      <c r="B44" s="175" t="s">
        <v>409</v>
      </c>
      <c r="C44" s="175" t="s">
        <v>154</v>
      </c>
      <c r="D44" s="175" t="s">
        <v>140</v>
      </c>
      <c r="E44" s="175">
        <v>150</v>
      </c>
      <c r="F44" s="264" t="s">
        <v>150</v>
      </c>
      <c r="G44" s="40">
        <v>400</v>
      </c>
      <c r="H44" s="264" t="s">
        <v>150</v>
      </c>
      <c r="I44" s="40" t="s">
        <v>653</v>
      </c>
      <c r="J44" s="37" t="s">
        <v>654</v>
      </c>
    </row>
    <row r="45" spans="1:10" ht="14.25" customHeight="1" x14ac:dyDescent="0.3">
      <c r="A45" s="40">
        <v>43</v>
      </c>
      <c r="B45" s="175" t="s">
        <v>409</v>
      </c>
      <c r="C45" s="175" t="s">
        <v>398</v>
      </c>
      <c r="D45" s="175" t="s">
        <v>140</v>
      </c>
      <c r="E45" s="175">
        <v>150</v>
      </c>
      <c r="F45" s="264" t="s">
        <v>150</v>
      </c>
      <c r="G45" s="40">
        <v>400</v>
      </c>
      <c r="H45" s="264" t="s">
        <v>150</v>
      </c>
      <c r="I45" s="40" t="s">
        <v>653</v>
      </c>
      <c r="J45" s="37" t="s">
        <v>654</v>
      </c>
    </row>
    <row r="46" spans="1:10" ht="14.25" customHeight="1" x14ac:dyDescent="0.3">
      <c r="A46" s="40">
        <v>44</v>
      </c>
      <c r="B46" s="175" t="s">
        <v>409</v>
      </c>
      <c r="C46" s="175" t="s">
        <v>402</v>
      </c>
      <c r="D46" s="175" t="s">
        <v>140</v>
      </c>
      <c r="E46" s="175">
        <v>150</v>
      </c>
      <c r="F46" s="264" t="s">
        <v>153</v>
      </c>
      <c r="G46" s="40">
        <v>400</v>
      </c>
      <c r="H46" s="264" t="s">
        <v>150</v>
      </c>
      <c r="I46" s="40" t="s">
        <v>653</v>
      </c>
      <c r="J46" s="37" t="s">
        <v>654</v>
      </c>
    </row>
    <row r="47" spans="1:10" ht="14.25" customHeight="1" x14ac:dyDescent="0.3">
      <c r="A47" s="40">
        <v>45</v>
      </c>
      <c r="B47" s="175" t="s">
        <v>409</v>
      </c>
      <c r="C47" s="175" t="s">
        <v>343</v>
      </c>
      <c r="D47" s="175" t="s">
        <v>140</v>
      </c>
      <c r="E47" s="175">
        <v>150</v>
      </c>
      <c r="F47" s="264" t="s">
        <v>150</v>
      </c>
      <c r="G47" s="40">
        <v>400</v>
      </c>
      <c r="H47" s="264" t="s">
        <v>150</v>
      </c>
      <c r="I47" s="40" t="s">
        <v>653</v>
      </c>
      <c r="J47" s="37" t="s">
        <v>654</v>
      </c>
    </row>
    <row r="48" spans="1:10" ht="14.25" customHeight="1" x14ac:dyDescent="0.3">
      <c r="A48" s="40">
        <v>46</v>
      </c>
      <c r="B48" s="175" t="s">
        <v>409</v>
      </c>
      <c r="C48" s="175" t="s">
        <v>160</v>
      </c>
      <c r="D48" s="175" t="s">
        <v>140</v>
      </c>
      <c r="E48" s="175">
        <v>150</v>
      </c>
      <c r="F48" s="264" t="s">
        <v>150</v>
      </c>
      <c r="G48" s="40">
        <v>400</v>
      </c>
      <c r="H48" s="264" t="s">
        <v>150</v>
      </c>
      <c r="I48" s="40" t="s">
        <v>653</v>
      </c>
      <c r="J48" s="37" t="s">
        <v>654</v>
      </c>
    </row>
    <row r="49" spans="1:10" ht="14.25" customHeight="1" x14ac:dyDescent="0.3">
      <c r="A49" s="40">
        <v>47</v>
      </c>
      <c r="B49" s="175" t="s">
        <v>409</v>
      </c>
      <c r="C49" s="175" t="s">
        <v>407</v>
      </c>
      <c r="D49" s="175" t="s">
        <v>140</v>
      </c>
      <c r="E49" s="175">
        <v>150</v>
      </c>
      <c r="F49" s="264" t="s">
        <v>150</v>
      </c>
      <c r="G49" s="40">
        <v>400</v>
      </c>
      <c r="H49" s="264" t="s">
        <v>150</v>
      </c>
      <c r="I49" s="40" t="s">
        <v>653</v>
      </c>
      <c r="J49" s="37" t="s">
        <v>654</v>
      </c>
    </row>
    <row r="50" spans="1:10" ht="14.25" customHeight="1" x14ac:dyDescent="0.3">
      <c r="A50" s="40">
        <v>48</v>
      </c>
      <c r="B50" s="175" t="s">
        <v>409</v>
      </c>
      <c r="C50" s="175" t="s">
        <v>408</v>
      </c>
      <c r="D50" s="175" t="s">
        <v>140</v>
      </c>
      <c r="E50" s="175">
        <v>150</v>
      </c>
      <c r="F50" s="264" t="s">
        <v>150</v>
      </c>
      <c r="G50" s="40">
        <v>400</v>
      </c>
      <c r="H50" s="264" t="s">
        <v>150</v>
      </c>
      <c r="I50" s="40" t="s">
        <v>653</v>
      </c>
      <c r="J50" s="37" t="s">
        <v>654</v>
      </c>
    </row>
    <row r="51" spans="1:10" ht="14.25" customHeight="1" x14ac:dyDescent="0.3">
      <c r="A51" s="40">
        <v>49</v>
      </c>
      <c r="B51" s="175" t="s">
        <v>138</v>
      </c>
      <c r="C51" s="175" t="s">
        <v>394</v>
      </c>
      <c r="D51" s="175" t="s">
        <v>140</v>
      </c>
      <c r="E51" s="175">
        <v>0</v>
      </c>
      <c r="F51" s="264" t="s">
        <v>151</v>
      </c>
      <c r="G51" s="40">
        <v>400</v>
      </c>
      <c r="H51" s="264" t="s">
        <v>150</v>
      </c>
      <c r="I51" s="40" t="s">
        <v>653</v>
      </c>
      <c r="J51" s="37" t="s">
        <v>654</v>
      </c>
    </row>
    <row r="52" spans="1:10" ht="14.25" customHeight="1" x14ac:dyDescent="0.3">
      <c r="A52" s="40">
        <v>50</v>
      </c>
      <c r="B52" s="175" t="s">
        <v>138</v>
      </c>
      <c r="C52" s="175" t="s">
        <v>154</v>
      </c>
      <c r="D52" s="175" t="s">
        <v>140</v>
      </c>
      <c r="E52" s="175">
        <v>1500</v>
      </c>
      <c r="F52" s="264" t="s">
        <v>150</v>
      </c>
      <c r="G52" s="40">
        <v>400</v>
      </c>
      <c r="H52" s="264" t="s">
        <v>150</v>
      </c>
      <c r="I52" s="40" t="s">
        <v>653</v>
      </c>
      <c r="J52" s="37" t="s">
        <v>654</v>
      </c>
    </row>
    <row r="53" spans="1:10" ht="14.25" customHeight="1" x14ac:dyDescent="0.3">
      <c r="A53" s="40">
        <v>51</v>
      </c>
      <c r="B53" s="175" t="s">
        <v>138</v>
      </c>
      <c r="C53" s="175" t="s">
        <v>398</v>
      </c>
      <c r="D53" s="175" t="s">
        <v>140</v>
      </c>
      <c r="E53" s="175">
        <v>1000</v>
      </c>
      <c r="F53" s="264" t="s">
        <v>150</v>
      </c>
      <c r="G53" s="40">
        <v>400</v>
      </c>
      <c r="H53" s="264" t="s">
        <v>150</v>
      </c>
      <c r="I53" s="40" t="s">
        <v>653</v>
      </c>
      <c r="J53" s="37" t="s">
        <v>654</v>
      </c>
    </row>
    <row r="54" spans="1:10" ht="14.25" customHeight="1" x14ac:dyDescent="0.3">
      <c r="A54" s="40">
        <v>52</v>
      </c>
      <c r="B54" s="175" t="s">
        <v>138</v>
      </c>
      <c r="C54" s="175" t="s">
        <v>402</v>
      </c>
      <c r="D54" s="175" t="s">
        <v>140</v>
      </c>
      <c r="E54" s="175">
        <v>1000</v>
      </c>
      <c r="F54" s="264" t="s">
        <v>153</v>
      </c>
      <c r="G54" s="40">
        <v>400</v>
      </c>
      <c r="H54" s="264" t="s">
        <v>150</v>
      </c>
      <c r="I54" s="40" t="s">
        <v>653</v>
      </c>
      <c r="J54" s="37" t="s">
        <v>654</v>
      </c>
    </row>
    <row r="55" spans="1:10" ht="14.25" customHeight="1" x14ac:dyDescent="0.3">
      <c r="A55" s="40">
        <v>53</v>
      </c>
      <c r="B55" s="175" t="s">
        <v>138</v>
      </c>
      <c r="C55" s="175" t="s">
        <v>343</v>
      </c>
      <c r="D55" s="175" t="s">
        <v>140</v>
      </c>
      <c r="E55" s="175">
        <v>1000</v>
      </c>
      <c r="F55" s="264" t="s">
        <v>150</v>
      </c>
      <c r="G55" s="40">
        <v>400</v>
      </c>
      <c r="H55" s="264" t="s">
        <v>150</v>
      </c>
      <c r="I55" s="40" t="s">
        <v>653</v>
      </c>
      <c r="J55" s="37" t="s">
        <v>654</v>
      </c>
    </row>
    <row r="56" spans="1:10" ht="14.25" customHeight="1" x14ac:dyDescent="0.3">
      <c r="A56" s="40">
        <v>54</v>
      </c>
      <c r="B56" s="175" t="s">
        <v>138</v>
      </c>
      <c r="C56" s="175" t="s">
        <v>160</v>
      </c>
      <c r="D56" s="175" t="s">
        <v>140</v>
      </c>
      <c r="E56" s="175">
        <v>500</v>
      </c>
      <c r="F56" s="264" t="s">
        <v>150</v>
      </c>
      <c r="G56" s="40">
        <v>400</v>
      </c>
      <c r="H56" s="264" t="s">
        <v>150</v>
      </c>
      <c r="I56" s="40" t="s">
        <v>653</v>
      </c>
      <c r="J56" s="37" t="s">
        <v>654</v>
      </c>
    </row>
    <row r="57" spans="1:10" ht="14.25" customHeight="1" x14ac:dyDescent="0.3">
      <c r="A57" s="40">
        <v>55</v>
      </c>
      <c r="B57" s="175" t="s">
        <v>138</v>
      </c>
      <c r="C57" s="175" t="s">
        <v>407</v>
      </c>
      <c r="D57" s="175" t="s">
        <v>140</v>
      </c>
      <c r="E57" s="175">
        <v>500</v>
      </c>
      <c r="F57" s="264" t="s">
        <v>150</v>
      </c>
      <c r="G57" s="40">
        <v>400</v>
      </c>
      <c r="H57" s="264" t="s">
        <v>150</v>
      </c>
      <c r="I57" s="40" t="s">
        <v>653</v>
      </c>
      <c r="J57" s="37" t="s">
        <v>654</v>
      </c>
    </row>
    <row r="58" spans="1:10" ht="14.25" customHeight="1" x14ac:dyDescent="0.3">
      <c r="A58" s="40">
        <v>56</v>
      </c>
      <c r="B58" s="175" t="s">
        <v>138</v>
      </c>
      <c r="C58" s="175" t="s">
        <v>408</v>
      </c>
      <c r="D58" s="175" t="s">
        <v>140</v>
      </c>
      <c r="E58" s="175">
        <v>500</v>
      </c>
      <c r="F58" s="264" t="s">
        <v>150</v>
      </c>
      <c r="G58" s="40">
        <v>400</v>
      </c>
      <c r="H58" s="264" t="s">
        <v>150</v>
      </c>
      <c r="I58" s="40" t="s">
        <v>653</v>
      </c>
      <c r="J58" s="37" t="s">
        <v>654</v>
      </c>
    </row>
    <row r="59" spans="1:10" ht="14.25" customHeight="1" x14ac:dyDescent="0.3">
      <c r="A59" s="40">
        <v>57</v>
      </c>
      <c r="B59" s="175" t="s">
        <v>155</v>
      </c>
      <c r="C59" s="175" t="s">
        <v>394</v>
      </c>
      <c r="D59" s="175" t="s">
        <v>140</v>
      </c>
      <c r="E59" s="175">
        <v>0</v>
      </c>
      <c r="F59" s="264" t="s">
        <v>151</v>
      </c>
      <c r="G59" s="40">
        <v>400</v>
      </c>
      <c r="H59" s="264" t="s">
        <v>150</v>
      </c>
      <c r="I59" s="40" t="s">
        <v>653</v>
      </c>
      <c r="J59" s="37" t="s">
        <v>654</v>
      </c>
    </row>
    <row r="60" spans="1:10" ht="14.25" customHeight="1" x14ac:dyDescent="0.3">
      <c r="A60" s="40">
        <v>58</v>
      </c>
      <c r="B60" s="175" t="s">
        <v>155</v>
      </c>
      <c r="C60" s="175" t="s">
        <v>154</v>
      </c>
      <c r="D60" s="175" t="s">
        <v>140</v>
      </c>
      <c r="E60" s="175">
        <v>3000</v>
      </c>
      <c r="F60" s="264" t="s">
        <v>150</v>
      </c>
      <c r="G60" s="40">
        <v>400</v>
      </c>
      <c r="H60" s="264" t="s">
        <v>150</v>
      </c>
      <c r="I60" s="40" t="s">
        <v>653</v>
      </c>
      <c r="J60" s="37" t="s">
        <v>654</v>
      </c>
    </row>
    <row r="61" spans="1:10" ht="14.25" customHeight="1" x14ac:dyDescent="0.3">
      <c r="A61" s="40">
        <v>59</v>
      </c>
      <c r="B61" s="175" t="s">
        <v>155</v>
      </c>
      <c r="C61" s="175" t="s">
        <v>398</v>
      </c>
      <c r="D61" s="175" t="s">
        <v>140</v>
      </c>
      <c r="E61" s="175">
        <v>1500</v>
      </c>
      <c r="F61" s="264" t="s">
        <v>150</v>
      </c>
      <c r="G61" s="40">
        <v>400</v>
      </c>
      <c r="H61" s="264" t="s">
        <v>150</v>
      </c>
      <c r="I61" s="40" t="s">
        <v>653</v>
      </c>
      <c r="J61" s="37" t="s">
        <v>654</v>
      </c>
    </row>
    <row r="62" spans="1:10" ht="14.25" customHeight="1" x14ac:dyDescent="0.3">
      <c r="A62" s="40">
        <v>60</v>
      </c>
      <c r="B62" s="175" t="s">
        <v>155</v>
      </c>
      <c r="C62" s="175" t="s">
        <v>402</v>
      </c>
      <c r="D62" s="175" t="s">
        <v>140</v>
      </c>
      <c r="E62" s="175">
        <v>1500</v>
      </c>
      <c r="F62" s="264" t="s">
        <v>150</v>
      </c>
      <c r="G62" s="40">
        <v>400</v>
      </c>
      <c r="H62" s="264" t="s">
        <v>150</v>
      </c>
      <c r="I62" s="40" t="s">
        <v>653</v>
      </c>
      <c r="J62" s="37" t="s">
        <v>654</v>
      </c>
    </row>
    <row r="63" spans="1:10" ht="14.25" customHeight="1" x14ac:dyDescent="0.3">
      <c r="A63" s="40">
        <v>61</v>
      </c>
      <c r="B63" s="175" t="s">
        <v>155</v>
      </c>
      <c r="C63" s="175" t="s">
        <v>343</v>
      </c>
      <c r="D63" s="175" t="s">
        <v>140</v>
      </c>
      <c r="E63" s="175">
        <v>1500</v>
      </c>
      <c r="F63" s="264" t="s">
        <v>150</v>
      </c>
      <c r="G63" s="40">
        <v>400</v>
      </c>
      <c r="H63" s="264" t="s">
        <v>150</v>
      </c>
      <c r="I63" s="40" t="s">
        <v>653</v>
      </c>
      <c r="J63" s="37" t="s">
        <v>654</v>
      </c>
    </row>
    <row r="64" spans="1:10" ht="14.25" customHeight="1" x14ac:dyDescent="0.3">
      <c r="A64" s="40">
        <v>62</v>
      </c>
      <c r="B64" s="175" t="s">
        <v>155</v>
      </c>
      <c r="C64" s="175" t="s">
        <v>160</v>
      </c>
      <c r="D64" s="175" t="s">
        <v>140</v>
      </c>
      <c r="E64" s="175">
        <v>800</v>
      </c>
      <c r="F64" s="264" t="s">
        <v>150</v>
      </c>
      <c r="G64" s="40">
        <v>400</v>
      </c>
      <c r="H64" s="264" t="s">
        <v>150</v>
      </c>
      <c r="I64" s="40" t="s">
        <v>653</v>
      </c>
      <c r="J64" s="37" t="s">
        <v>654</v>
      </c>
    </row>
    <row r="65" spans="1:10" ht="14.25" customHeight="1" x14ac:dyDescent="0.3">
      <c r="A65" s="40">
        <v>63</v>
      </c>
      <c r="B65" s="175" t="s">
        <v>155</v>
      </c>
      <c r="C65" s="175" t="s">
        <v>407</v>
      </c>
      <c r="D65" s="175" t="s">
        <v>140</v>
      </c>
      <c r="E65" s="175">
        <v>800</v>
      </c>
      <c r="F65" s="264" t="s">
        <v>150</v>
      </c>
      <c r="G65" s="40">
        <v>400</v>
      </c>
      <c r="H65" s="264" t="s">
        <v>150</v>
      </c>
      <c r="I65" s="40" t="s">
        <v>653</v>
      </c>
      <c r="J65" s="37" t="s">
        <v>654</v>
      </c>
    </row>
    <row r="66" spans="1:10" ht="14.25" customHeight="1" x14ac:dyDescent="0.3">
      <c r="A66" s="40">
        <v>64</v>
      </c>
      <c r="B66" s="183" t="s">
        <v>155</v>
      </c>
      <c r="C66" s="183" t="s">
        <v>408</v>
      </c>
      <c r="D66" s="183" t="s">
        <v>140</v>
      </c>
      <c r="E66" s="183">
        <v>800</v>
      </c>
      <c r="F66" s="266" t="s">
        <v>150</v>
      </c>
      <c r="G66" s="182">
        <v>400</v>
      </c>
      <c r="H66" s="266" t="s">
        <v>150</v>
      </c>
      <c r="I66" s="182" t="s">
        <v>653</v>
      </c>
      <c r="J66" s="203" t="s">
        <v>654</v>
      </c>
    </row>
    <row r="67" spans="1:10" ht="14.25" customHeight="1" x14ac:dyDescent="0.3">
      <c r="A67" s="40">
        <v>65</v>
      </c>
      <c r="B67" s="185" t="s">
        <v>421</v>
      </c>
      <c r="C67" s="185" t="s">
        <v>394</v>
      </c>
      <c r="D67" s="185" t="s">
        <v>187</v>
      </c>
      <c r="E67" s="185" t="s">
        <v>399</v>
      </c>
      <c r="F67" s="185" t="s">
        <v>399</v>
      </c>
      <c r="G67" s="185">
        <v>400</v>
      </c>
      <c r="H67" s="185" t="s">
        <v>150</v>
      </c>
      <c r="I67" s="185" t="s">
        <v>653</v>
      </c>
      <c r="J67" s="33" t="s">
        <v>654</v>
      </c>
    </row>
    <row r="68" spans="1:10" ht="14.25" customHeight="1" x14ac:dyDescent="0.3">
      <c r="A68" s="40">
        <v>66</v>
      </c>
      <c r="B68" s="175" t="s">
        <v>421</v>
      </c>
      <c r="C68" s="175" t="s">
        <v>154</v>
      </c>
      <c r="D68" s="175" t="s">
        <v>187</v>
      </c>
      <c r="E68" s="175" t="s">
        <v>399</v>
      </c>
      <c r="F68" s="175" t="s">
        <v>399</v>
      </c>
      <c r="G68" s="175">
        <v>400</v>
      </c>
      <c r="H68" s="175" t="s">
        <v>150</v>
      </c>
      <c r="I68" s="175" t="s">
        <v>653</v>
      </c>
      <c r="J68" s="37" t="s">
        <v>654</v>
      </c>
    </row>
    <row r="69" spans="1:10" ht="14.25" customHeight="1" x14ac:dyDescent="0.3">
      <c r="A69" s="40">
        <v>67</v>
      </c>
      <c r="B69" s="175" t="s">
        <v>421</v>
      </c>
      <c r="C69" s="175" t="s">
        <v>398</v>
      </c>
      <c r="D69" s="175" t="s">
        <v>187</v>
      </c>
      <c r="E69" s="175" t="s">
        <v>399</v>
      </c>
      <c r="F69" s="175" t="s">
        <v>399</v>
      </c>
      <c r="G69" s="175">
        <v>400</v>
      </c>
      <c r="H69" s="175" t="s">
        <v>150</v>
      </c>
      <c r="I69" s="175" t="s">
        <v>653</v>
      </c>
      <c r="J69" s="37" t="s">
        <v>654</v>
      </c>
    </row>
    <row r="70" spans="1:10" ht="14.25" customHeight="1" x14ac:dyDescent="0.3">
      <c r="A70" s="40">
        <v>68</v>
      </c>
      <c r="B70" s="175" t="s">
        <v>421</v>
      </c>
      <c r="C70" s="175" t="s">
        <v>402</v>
      </c>
      <c r="D70" s="175" t="s">
        <v>187</v>
      </c>
      <c r="E70" s="175" t="s">
        <v>399</v>
      </c>
      <c r="F70" s="175" t="s">
        <v>399</v>
      </c>
      <c r="G70" s="175">
        <v>400</v>
      </c>
      <c r="H70" s="175" t="s">
        <v>150</v>
      </c>
      <c r="I70" s="175" t="s">
        <v>653</v>
      </c>
      <c r="J70" s="37" t="s">
        <v>654</v>
      </c>
    </row>
    <row r="71" spans="1:10" ht="14.25" customHeight="1" x14ac:dyDescent="0.3">
      <c r="A71" s="40">
        <v>69</v>
      </c>
      <c r="B71" s="175" t="s">
        <v>421</v>
      </c>
      <c r="C71" s="175" t="s">
        <v>343</v>
      </c>
      <c r="D71" s="175" t="s">
        <v>187</v>
      </c>
      <c r="E71" s="175" t="s">
        <v>399</v>
      </c>
      <c r="F71" s="175" t="s">
        <v>399</v>
      </c>
      <c r="G71" s="175">
        <v>400</v>
      </c>
      <c r="H71" s="175" t="s">
        <v>150</v>
      </c>
      <c r="I71" s="175" t="s">
        <v>653</v>
      </c>
      <c r="J71" s="37" t="s">
        <v>654</v>
      </c>
    </row>
    <row r="72" spans="1:10" ht="14.25" customHeight="1" x14ac:dyDescent="0.3">
      <c r="A72" s="40">
        <v>70</v>
      </c>
      <c r="B72" s="175" t="s">
        <v>421</v>
      </c>
      <c r="C72" s="175" t="s">
        <v>160</v>
      </c>
      <c r="D72" s="175" t="s">
        <v>187</v>
      </c>
      <c r="E72" s="175" t="s">
        <v>399</v>
      </c>
      <c r="F72" s="175" t="s">
        <v>399</v>
      </c>
      <c r="G72" s="175">
        <v>400</v>
      </c>
      <c r="H72" s="175" t="s">
        <v>150</v>
      </c>
      <c r="I72" s="175" t="s">
        <v>653</v>
      </c>
      <c r="J72" s="37" t="s">
        <v>654</v>
      </c>
    </row>
    <row r="73" spans="1:10" ht="14.25" customHeight="1" x14ac:dyDescent="0.3">
      <c r="A73" s="40">
        <v>71</v>
      </c>
      <c r="B73" s="175" t="s">
        <v>421</v>
      </c>
      <c r="C73" s="175" t="s">
        <v>407</v>
      </c>
      <c r="D73" s="175" t="s">
        <v>187</v>
      </c>
      <c r="E73" s="175" t="s">
        <v>399</v>
      </c>
      <c r="F73" s="175" t="s">
        <v>399</v>
      </c>
      <c r="G73" s="175">
        <v>400</v>
      </c>
      <c r="H73" s="175" t="s">
        <v>150</v>
      </c>
      <c r="I73" s="175" t="s">
        <v>653</v>
      </c>
      <c r="J73" s="37" t="s">
        <v>654</v>
      </c>
    </row>
    <row r="74" spans="1:10" ht="14.25" customHeight="1" x14ac:dyDescent="0.3">
      <c r="A74" s="40">
        <v>72</v>
      </c>
      <c r="B74" s="175" t="s">
        <v>421</v>
      </c>
      <c r="C74" s="175" t="s">
        <v>408</v>
      </c>
      <c r="D74" s="175" t="s">
        <v>187</v>
      </c>
      <c r="E74" s="175" t="s">
        <v>399</v>
      </c>
      <c r="F74" s="175" t="s">
        <v>399</v>
      </c>
      <c r="G74" s="175">
        <v>400</v>
      </c>
      <c r="H74" s="175" t="s">
        <v>150</v>
      </c>
      <c r="I74" s="175" t="s">
        <v>653</v>
      </c>
      <c r="J74" s="37" t="s">
        <v>654</v>
      </c>
    </row>
    <row r="75" spans="1:10" ht="14.25" customHeight="1" x14ac:dyDescent="0.3">
      <c r="A75" s="40">
        <v>73</v>
      </c>
      <c r="B75" s="175" t="s">
        <v>421</v>
      </c>
      <c r="C75" s="175" t="s">
        <v>394</v>
      </c>
      <c r="D75" s="175" t="s">
        <v>140</v>
      </c>
      <c r="E75" s="175" t="s">
        <v>399</v>
      </c>
      <c r="F75" s="175" t="s">
        <v>399</v>
      </c>
      <c r="G75" s="175">
        <v>400</v>
      </c>
      <c r="H75" s="175" t="s">
        <v>150</v>
      </c>
      <c r="I75" s="175" t="s">
        <v>653</v>
      </c>
      <c r="J75" s="37" t="s">
        <v>654</v>
      </c>
    </row>
    <row r="76" spans="1:10" ht="14.25" customHeight="1" x14ac:dyDescent="0.3">
      <c r="A76" s="40">
        <v>74</v>
      </c>
      <c r="B76" s="175" t="s">
        <v>421</v>
      </c>
      <c r="C76" s="175" t="s">
        <v>154</v>
      </c>
      <c r="D76" s="175" t="s">
        <v>140</v>
      </c>
      <c r="E76" s="175" t="s">
        <v>399</v>
      </c>
      <c r="F76" s="175" t="s">
        <v>399</v>
      </c>
      <c r="G76" s="175">
        <v>400</v>
      </c>
      <c r="H76" s="175" t="s">
        <v>150</v>
      </c>
      <c r="I76" s="175" t="s">
        <v>653</v>
      </c>
      <c r="J76" s="37" t="s">
        <v>654</v>
      </c>
    </row>
    <row r="77" spans="1:10" ht="14.25" customHeight="1" x14ac:dyDescent="0.3">
      <c r="A77" s="40">
        <v>75</v>
      </c>
      <c r="B77" s="175" t="s">
        <v>421</v>
      </c>
      <c r="C77" s="175" t="s">
        <v>398</v>
      </c>
      <c r="D77" s="175" t="s">
        <v>140</v>
      </c>
      <c r="E77" s="175" t="s">
        <v>399</v>
      </c>
      <c r="F77" s="175" t="s">
        <v>399</v>
      </c>
      <c r="G77" s="175">
        <v>400</v>
      </c>
      <c r="H77" s="175" t="s">
        <v>150</v>
      </c>
      <c r="I77" s="175" t="s">
        <v>653</v>
      </c>
      <c r="J77" s="37" t="s">
        <v>654</v>
      </c>
    </row>
    <row r="78" spans="1:10" ht="14.25" customHeight="1" x14ac:dyDescent="0.3">
      <c r="A78" s="40">
        <v>76</v>
      </c>
      <c r="B78" s="175" t="s">
        <v>421</v>
      </c>
      <c r="C78" s="175" t="s">
        <v>402</v>
      </c>
      <c r="D78" s="175" t="s">
        <v>140</v>
      </c>
      <c r="E78" s="175" t="s">
        <v>399</v>
      </c>
      <c r="F78" s="175" t="s">
        <v>399</v>
      </c>
      <c r="G78" s="175">
        <v>400</v>
      </c>
      <c r="H78" s="175" t="s">
        <v>150</v>
      </c>
      <c r="I78" s="175" t="s">
        <v>653</v>
      </c>
      <c r="J78" s="37" t="s">
        <v>654</v>
      </c>
    </row>
    <row r="79" spans="1:10" ht="14.25" customHeight="1" x14ac:dyDescent="0.3">
      <c r="A79" s="40">
        <v>77</v>
      </c>
      <c r="B79" s="175" t="s">
        <v>421</v>
      </c>
      <c r="C79" s="175" t="s">
        <v>343</v>
      </c>
      <c r="D79" s="175" t="s">
        <v>140</v>
      </c>
      <c r="E79" s="175" t="s">
        <v>399</v>
      </c>
      <c r="F79" s="175" t="s">
        <v>399</v>
      </c>
      <c r="G79" s="175">
        <v>400</v>
      </c>
      <c r="H79" s="175" t="s">
        <v>150</v>
      </c>
      <c r="I79" s="175" t="s">
        <v>653</v>
      </c>
      <c r="J79" s="37" t="s">
        <v>654</v>
      </c>
    </row>
    <row r="80" spans="1:10" ht="14.25" customHeight="1" x14ac:dyDescent="0.3">
      <c r="A80" s="40">
        <v>78</v>
      </c>
      <c r="B80" s="175" t="s">
        <v>421</v>
      </c>
      <c r="C80" s="175" t="s">
        <v>160</v>
      </c>
      <c r="D80" s="175" t="s">
        <v>140</v>
      </c>
      <c r="E80" s="175" t="s">
        <v>399</v>
      </c>
      <c r="F80" s="175" t="s">
        <v>399</v>
      </c>
      <c r="G80" s="175">
        <v>400</v>
      </c>
      <c r="H80" s="175" t="s">
        <v>150</v>
      </c>
      <c r="I80" s="175" t="s">
        <v>653</v>
      </c>
      <c r="J80" s="37" t="s">
        <v>654</v>
      </c>
    </row>
    <row r="81" spans="1:10" ht="14.25" customHeight="1" x14ac:dyDescent="0.3">
      <c r="A81" s="40">
        <v>79</v>
      </c>
      <c r="B81" s="175" t="s">
        <v>421</v>
      </c>
      <c r="C81" s="175" t="s">
        <v>407</v>
      </c>
      <c r="D81" s="175" t="s">
        <v>140</v>
      </c>
      <c r="E81" s="175" t="s">
        <v>399</v>
      </c>
      <c r="F81" s="175" t="s">
        <v>399</v>
      </c>
      <c r="G81" s="175">
        <v>400</v>
      </c>
      <c r="H81" s="175" t="s">
        <v>150</v>
      </c>
      <c r="I81" s="175" t="s">
        <v>653</v>
      </c>
      <c r="J81" s="37" t="s">
        <v>654</v>
      </c>
    </row>
    <row r="82" spans="1:10" ht="14.25" customHeight="1" x14ac:dyDescent="0.3">
      <c r="A82" s="40">
        <v>80</v>
      </c>
      <c r="B82" s="186" t="s">
        <v>421</v>
      </c>
      <c r="C82" s="186" t="s">
        <v>408</v>
      </c>
      <c r="D82" s="186" t="s">
        <v>140</v>
      </c>
      <c r="E82" s="186" t="s">
        <v>399</v>
      </c>
      <c r="F82" s="186" t="s">
        <v>399</v>
      </c>
      <c r="G82" s="186">
        <v>400</v>
      </c>
      <c r="H82" s="186" t="s">
        <v>150</v>
      </c>
      <c r="I82" s="186" t="s">
        <v>653</v>
      </c>
      <c r="J82" s="43" t="s">
        <v>654</v>
      </c>
    </row>
    <row r="83" spans="1:10" ht="14.25" customHeight="1" x14ac:dyDescent="0.3"/>
    <row r="84" spans="1:10" ht="14.25" customHeight="1" x14ac:dyDescent="0.3"/>
    <row r="85" spans="1:10" ht="14.25" customHeight="1" x14ac:dyDescent="0.3"/>
    <row r="86" spans="1:10" ht="14.25" customHeight="1" x14ac:dyDescent="0.3"/>
    <row r="87" spans="1:10" ht="14.25" customHeight="1" x14ac:dyDescent="0.3"/>
    <row r="88" spans="1:10" ht="14.25" customHeight="1" x14ac:dyDescent="0.3"/>
    <row r="89" spans="1:10" ht="14.25" customHeight="1" x14ac:dyDescent="0.3"/>
    <row r="90" spans="1:10" ht="14.25" customHeight="1" x14ac:dyDescent="0.3"/>
    <row r="91" spans="1:10" ht="14.25" customHeight="1" x14ac:dyDescent="0.3"/>
    <row r="92" spans="1:10" ht="14.25" customHeight="1" x14ac:dyDescent="0.3"/>
    <row r="93" spans="1:10" ht="14.25" customHeight="1" x14ac:dyDescent="0.3"/>
    <row r="94" spans="1:10" ht="14.25" customHeight="1" x14ac:dyDescent="0.3"/>
    <row r="95" spans="1:10" ht="14.25" customHeight="1" x14ac:dyDescent="0.3"/>
    <row r="96" spans="1:10"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Hoja5"/>
  <dimension ref="A1:Z1000"/>
  <sheetViews>
    <sheetView workbookViewId="0"/>
  </sheetViews>
  <sheetFormatPr baseColWidth="10" defaultColWidth="14.44140625" defaultRowHeight="15" customHeight="1" x14ac:dyDescent="0.3"/>
  <cols>
    <col min="1" max="1" width="181.33203125" customWidth="1"/>
    <col min="2" max="21" width="10.6640625" customWidth="1"/>
  </cols>
  <sheetData>
    <row r="1" spans="1:26" ht="346.5" customHeight="1" x14ac:dyDescent="0.3">
      <c r="A1" s="267" t="s">
        <v>656</v>
      </c>
      <c r="B1" s="267"/>
      <c r="C1" s="267"/>
      <c r="D1" s="267"/>
      <c r="E1" s="267"/>
      <c r="F1" s="267"/>
      <c r="G1" s="267"/>
      <c r="H1" s="267"/>
      <c r="I1" s="267"/>
      <c r="J1" s="267"/>
      <c r="K1" s="267"/>
      <c r="L1" s="267"/>
      <c r="M1" s="267"/>
      <c r="N1" s="267"/>
      <c r="O1" s="267"/>
      <c r="P1" s="267"/>
      <c r="Q1" s="267"/>
      <c r="R1" s="267"/>
      <c r="S1" s="267"/>
      <c r="T1" s="267"/>
      <c r="U1" s="267"/>
      <c r="V1" s="267"/>
      <c r="W1" s="267"/>
      <c r="X1" s="267"/>
      <c r="Y1" s="267"/>
      <c r="Z1" s="267"/>
    </row>
    <row r="2" spans="1:26" ht="201" customHeight="1" x14ac:dyDescent="0.3">
      <c r="A2" s="267" t="s">
        <v>657</v>
      </c>
      <c r="B2" s="267"/>
      <c r="C2" s="267"/>
      <c r="D2" s="267"/>
      <c r="E2" s="267"/>
      <c r="F2" s="267"/>
      <c r="G2" s="267"/>
      <c r="H2" s="267"/>
      <c r="I2" s="267"/>
      <c r="J2" s="267"/>
      <c r="K2" s="267"/>
      <c r="L2" s="267"/>
      <c r="M2" s="267"/>
      <c r="N2" s="267"/>
      <c r="O2" s="267"/>
      <c r="P2" s="267"/>
      <c r="Q2" s="267"/>
      <c r="R2" s="267"/>
      <c r="S2" s="267"/>
      <c r="T2" s="267"/>
      <c r="U2" s="267"/>
      <c r="V2" s="267"/>
      <c r="W2" s="267"/>
      <c r="X2" s="267"/>
      <c r="Y2" s="267"/>
      <c r="Z2" s="267"/>
    </row>
    <row r="3" spans="1:26" ht="14.25" customHeight="1" x14ac:dyDescent="0.3">
      <c r="A3" s="267"/>
      <c r="B3" s="267"/>
      <c r="C3" s="267"/>
      <c r="D3" s="267"/>
      <c r="E3" s="267"/>
      <c r="F3" s="267"/>
      <c r="G3" s="267"/>
      <c r="H3" s="267"/>
      <c r="I3" s="267"/>
      <c r="J3" s="267"/>
      <c r="K3" s="267"/>
      <c r="L3" s="267"/>
      <c r="M3" s="267"/>
      <c r="N3" s="267"/>
      <c r="O3" s="267"/>
      <c r="P3" s="267"/>
      <c r="Q3" s="267"/>
      <c r="R3" s="267"/>
      <c r="S3" s="267"/>
      <c r="T3" s="267"/>
      <c r="U3" s="267"/>
      <c r="V3" s="267"/>
      <c r="W3" s="267"/>
      <c r="X3" s="267"/>
      <c r="Y3" s="267"/>
      <c r="Z3" s="267"/>
    </row>
    <row r="4" spans="1:26" ht="14.25" customHeight="1" x14ac:dyDescent="0.3"/>
    <row r="5" spans="1:26" ht="14.25" customHeight="1" x14ac:dyDescent="0.3"/>
    <row r="6" spans="1:26" ht="14.25" customHeight="1" x14ac:dyDescent="0.3"/>
    <row r="7" spans="1:26" ht="14.25" customHeight="1" x14ac:dyDescent="0.3"/>
    <row r="8" spans="1:26" ht="14.25" customHeight="1" x14ac:dyDescent="0.3"/>
    <row r="9" spans="1:26" ht="14.25" customHeight="1" x14ac:dyDescent="0.3"/>
    <row r="10" spans="1:26" ht="14.25" customHeight="1" x14ac:dyDescent="0.3"/>
    <row r="11" spans="1:26" ht="14.25" customHeight="1" x14ac:dyDescent="0.3"/>
    <row r="12" spans="1:26" ht="14.25" customHeight="1" x14ac:dyDescent="0.3"/>
    <row r="13" spans="1:26" ht="14.25" customHeight="1" x14ac:dyDescent="0.3"/>
    <row r="14" spans="1:26" ht="14.25" customHeight="1" x14ac:dyDescent="0.3"/>
    <row r="15" spans="1:26" ht="14.25" customHeight="1" x14ac:dyDescent="0.3"/>
    <row r="16" spans="1:26"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Hoja6"/>
  <dimension ref="A1:AE1000"/>
  <sheetViews>
    <sheetView workbookViewId="0"/>
  </sheetViews>
  <sheetFormatPr baseColWidth="10" defaultColWidth="14.44140625" defaultRowHeight="15" customHeight="1" x14ac:dyDescent="0.3"/>
  <cols>
    <col min="1" max="1" width="13.6640625" customWidth="1"/>
    <col min="2" max="2" width="12.6640625" customWidth="1"/>
    <col min="3" max="4" width="13.88671875" customWidth="1"/>
    <col min="5" max="5" width="15.6640625" customWidth="1"/>
    <col min="6" max="6" width="17.44140625" customWidth="1"/>
    <col min="7" max="10" width="10.6640625" customWidth="1"/>
    <col min="11" max="11" width="87.5546875" customWidth="1"/>
    <col min="12" max="31" width="10.6640625" customWidth="1"/>
  </cols>
  <sheetData>
    <row r="1" spans="1:31" ht="39.75" customHeight="1" x14ac:dyDescent="0.3">
      <c r="A1" s="268" t="s">
        <v>117</v>
      </c>
      <c r="B1" s="269" t="s">
        <v>658</v>
      </c>
      <c r="C1" s="269"/>
      <c r="D1" s="269"/>
      <c r="E1" s="269"/>
      <c r="F1" s="269"/>
      <c r="G1" s="269"/>
      <c r="H1" s="269"/>
      <c r="I1" s="269"/>
      <c r="K1" s="270"/>
      <c r="L1" s="270"/>
      <c r="M1" s="270"/>
      <c r="N1" s="270"/>
      <c r="O1" s="270"/>
      <c r="P1" s="270"/>
      <c r="Q1" s="270"/>
      <c r="R1" s="270"/>
      <c r="S1" s="270"/>
      <c r="T1" s="270"/>
      <c r="U1" s="270"/>
      <c r="V1" s="270"/>
      <c r="W1" s="270"/>
      <c r="X1" s="270"/>
      <c r="Y1" s="270"/>
      <c r="Z1" s="270"/>
      <c r="AA1" s="270"/>
      <c r="AB1" s="270"/>
      <c r="AC1" s="270"/>
      <c r="AD1" s="270"/>
      <c r="AE1" s="270"/>
    </row>
    <row r="2" spans="1:31" ht="14.25" customHeight="1" x14ac:dyDescent="0.3">
      <c r="A2" s="167" t="s">
        <v>385</v>
      </c>
      <c r="B2" s="168" t="s">
        <v>386</v>
      </c>
      <c r="C2" s="168" t="s">
        <v>387</v>
      </c>
      <c r="D2" s="168" t="s">
        <v>648</v>
      </c>
      <c r="E2" s="263" t="s">
        <v>649</v>
      </c>
      <c r="F2" s="167" t="s">
        <v>659</v>
      </c>
      <c r="G2" s="169" t="s">
        <v>649</v>
      </c>
      <c r="K2" s="120" t="s">
        <v>660</v>
      </c>
    </row>
    <row r="3" spans="1:31" ht="60" customHeight="1" x14ac:dyDescent="0.3">
      <c r="A3" s="170">
        <v>1</v>
      </c>
      <c r="B3" s="171" t="s">
        <v>393</v>
      </c>
      <c r="C3" s="171" t="s">
        <v>394</v>
      </c>
      <c r="D3" s="171">
        <v>300</v>
      </c>
      <c r="E3" s="265" t="s">
        <v>151</v>
      </c>
      <c r="F3" s="170">
        <v>5000</v>
      </c>
      <c r="G3" s="172" t="s">
        <v>151</v>
      </c>
      <c r="K3" s="120"/>
    </row>
    <row r="4" spans="1:31" ht="174" customHeight="1" x14ac:dyDescent="0.3">
      <c r="A4" s="40">
        <v>2</v>
      </c>
      <c r="B4" s="175" t="s">
        <v>393</v>
      </c>
      <c r="C4" s="175" t="s">
        <v>154</v>
      </c>
      <c r="D4" s="175">
        <v>300</v>
      </c>
      <c r="E4" s="264" t="s">
        <v>151</v>
      </c>
      <c r="F4" s="40">
        <v>5000</v>
      </c>
      <c r="G4" s="37" t="s">
        <v>150</v>
      </c>
      <c r="K4" s="120" t="s">
        <v>661</v>
      </c>
    </row>
    <row r="5" spans="1:31" ht="14.25" customHeight="1" x14ac:dyDescent="0.3">
      <c r="A5" s="40">
        <v>3</v>
      </c>
      <c r="B5" s="175" t="s">
        <v>393</v>
      </c>
      <c r="C5" s="175" t="s">
        <v>398</v>
      </c>
      <c r="D5" s="175">
        <v>300</v>
      </c>
      <c r="E5" s="264" t="s">
        <v>150</v>
      </c>
      <c r="F5" s="40">
        <v>5000</v>
      </c>
      <c r="G5" s="37" t="s">
        <v>150</v>
      </c>
      <c r="K5" s="120"/>
    </row>
    <row r="6" spans="1:31" ht="14.25" customHeight="1" x14ac:dyDescent="0.3">
      <c r="A6" s="40">
        <v>4</v>
      </c>
      <c r="B6" s="175" t="s">
        <v>393</v>
      </c>
      <c r="C6" s="175" t="s">
        <v>402</v>
      </c>
      <c r="D6" s="175">
        <v>300</v>
      </c>
      <c r="E6" s="264" t="s">
        <v>153</v>
      </c>
      <c r="F6" s="40">
        <v>5000</v>
      </c>
      <c r="G6" s="37" t="s">
        <v>150</v>
      </c>
      <c r="K6" s="120"/>
    </row>
    <row r="7" spans="1:31" ht="14.25" customHeight="1" x14ac:dyDescent="0.3">
      <c r="A7" s="40">
        <v>5</v>
      </c>
      <c r="B7" s="175" t="s">
        <v>393</v>
      </c>
      <c r="C7" s="175" t="s">
        <v>343</v>
      </c>
      <c r="D7" s="175">
        <v>300</v>
      </c>
      <c r="E7" s="264" t="s">
        <v>150</v>
      </c>
      <c r="F7" s="40">
        <v>5000</v>
      </c>
      <c r="G7" s="37" t="s">
        <v>150</v>
      </c>
      <c r="K7" s="120"/>
    </row>
    <row r="8" spans="1:31" ht="14.25" customHeight="1" x14ac:dyDescent="0.3">
      <c r="A8" s="40">
        <v>6</v>
      </c>
      <c r="B8" s="175" t="s">
        <v>393</v>
      </c>
      <c r="C8" s="175" t="s">
        <v>160</v>
      </c>
      <c r="D8" s="175">
        <v>300</v>
      </c>
      <c r="E8" s="264" t="s">
        <v>554</v>
      </c>
      <c r="F8" s="40">
        <v>5000</v>
      </c>
      <c r="G8" s="37" t="s">
        <v>150</v>
      </c>
    </row>
    <row r="9" spans="1:31" ht="14.25" customHeight="1" x14ac:dyDescent="0.3">
      <c r="A9" s="40">
        <v>7</v>
      </c>
      <c r="B9" s="175" t="s">
        <v>393</v>
      </c>
      <c r="C9" s="175" t="s">
        <v>407</v>
      </c>
      <c r="D9" s="175">
        <v>300</v>
      </c>
      <c r="E9" s="264" t="s">
        <v>554</v>
      </c>
      <c r="F9" s="40">
        <v>5000</v>
      </c>
      <c r="G9" s="37" t="s">
        <v>150</v>
      </c>
    </row>
    <row r="10" spans="1:31" ht="14.25" customHeight="1" x14ac:dyDescent="0.3">
      <c r="A10" s="40">
        <v>8</v>
      </c>
      <c r="B10" s="175" t="s">
        <v>393</v>
      </c>
      <c r="C10" s="175" t="s">
        <v>408</v>
      </c>
      <c r="D10" s="175">
        <v>300</v>
      </c>
      <c r="E10" s="264" t="s">
        <v>554</v>
      </c>
      <c r="F10" s="40">
        <v>5000</v>
      </c>
      <c r="G10" s="37" t="s">
        <v>150</v>
      </c>
    </row>
    <row r="11" spans="1:31" ht="14.25" customHeight="1" x14ac:dyDescent="0.3">
      <c r="A11" s="40">
        <v>9</v>
      </c>
      <c r="B11" s="175" t="s">
        <v>393</v>
      </c>
      <c r="C11" s="175" t="s">
        <v>394</v>
      </c>
      <c r="D11" s="175">
        <v>1000</v>
      </c>
      <c r="E11" s="264" t="s">
        <v>151</v>
      </c>
      <c r="F11" s="40">
        <v>5000</v>
      </c>
      <c r="G11" s="37" t="s">
        <v>151</v>
      </c>
    </row>
    <row r="12" spans="1:31" ht="14.25" customHeight="1" x14ac:dyDescent="0.3">
      <c r="A12" s="40">
        <v>10</v>
      </c>
      <c r="B12" s="175" t="s">
        <v>393</v>
      </c>
      <c r="C12" s="175" t="s">
        <v>394</v>
      </c>
      <c r="D12" s="175">
        <v>1000</v>
      </c>
      <c r="E12" s="264" t="s">
        <v>150</v>
      </c>
      <c r="F12" s="40">
        <v>5000</v>
      </c>
      <c r="G12" s="37" t="s">
        <v>150</v>
      </c>
    </row>
    <row r="13" spans="1:31" ht="14.25" customHeight="1" x14ac:dyDescent="0.3">
      <c r="A13" s="40">
        <v>11</v>
      </c>
      <c r="B13" s="175" t="s">
        <v>393</v>
      </c>
      <c r="C13" s="175" t="s">
        <v>154</v>
      </c>
      <c r="D13" s="175">
        <v>1000</v>
      </c>
      <c r="E13" s="264" t="s">
        <v>150</v>
      </c>
      <c r="F13" s="40">
        <v>5000</v>
      </c>
      <c r="G13" s="37" t="s">
        <v>150</v>
      </c>
    </row>
    <row r="14" spans="1:31" ht="14.25" customHeight="1" x14ac:dyDescent="0.3">
      <c r="A14" s="40">
        <v>12</v>
      </c>
      <c r="B14" s="175" t="s">
        <v>393</v>
      </c>
      <c r="C14" s="175" t="s">
        <v>398</v>
      </c>
      <c r="D14" s="175">
        <v>1000</v>
      </c>
      <c r="E14" s="264" t="s">
        <v>150</v>
      </c>
      <c r="F14" s="40">
        <v>5000</v>
      </c>
      <c r="G14" s="37" t="s">
        <v>150</v>
      </c>
    </row>
    <row r="15" spans="1:31" ht="14.25" customHeight="1" x14ac:dyDescent="0.3">
      <c r="A15" s="40">
        <v>13</v>
      </c>
      <c r="B15" s="175" t="s">
        <v>393</v>
      </c>
      <c r="C15" s="175" t="s">
        <v>402</v>
      </c>
      <c r="D15" s="175">
        <v>1000</v>
      </c>
      <c r="E15" s="264" t="s">
        <v>153</v>
      </c>
      <c r="F15" s="40">
        <v>5000</v>
      </c>
      <c r="G15" s="37" t="s">
        <v>150</v>
      </c>
    </row>
    <row r="16" spans="1:31" ht="14.25" customHeight="1" x14ac:dyDescent="0.3">
      <c r="A16" s="40">
        <v>14</v>
      </c>
      <c r="B16" s="175" t="s">
        <v>393</v>
      </c>
      <c r="C16" s="175" t="s">
        <v>343</v>
      </c>
      <c r="D16" s="175">
        <v>1000</v>
      </c>
      <c r="E16" s="264" t="s">
        <v>150</v>
      </c>
      <c r="F16" s="40">
        <v>5000</v>
      </c>
      <c r="G16" s="37" t="s">
        <v>150</v>
      </c>
    </row>
    <row r="17" spans="1:7" ht="14.25" customHeight="1" x14ac:dyDescent="0.3">
      <c r="A17" s="40">
        <v>15</v>
      </c>
      <c r="B17" s="175" t="s">
        <v>393</v>
      </c>
      <c r="C17" s="175" t="s">
        <v>160</v>
      </c>
      <c r="D17" s="175">
        <v>1000</v>
      </c>
      <c r="E17" s="264" t="s">
        <v>554</v>
      </c>
      <c r="F17" s="40">
        <v>5000</v>
      </c>
      <c r="G17" s="37" t="s">
        <v>150</v>
      </c>
    </row>
    <row r="18" spans="1:7" ht="14.25" customHeight="1" x14ac:dyDescent="0.3">
      <c r="A18" s="40">
        <v>16</v>
      </c>
      <c r="B18" s="175" t="s">
        <v>393</v>
      </c>
      <c r="C18" s="175" t="s">
        <v>407</v>
      </c>
      <c r="D18" s="175">
        <v>1000</v>
      </c>
      <c r="E18" s="264" t="s">
        <v>554</v>
      </c>
      <c r="F18" s="40">
        <v>5000</v>
      </c>
      <c r="G18" s="37" t="s">
        <v>150</v>
      </c>
    </row>
    <row r="19" spans="1:7" ht="14.25" customHeight="1" x14ac:dyDescent="0.3">
      <c r="A19" s="40">
        <v>17</v>
      </c>
      <c r="B19" s="175" t="s">
        <v>393</v>
      </c>
      <c r="C19" s="175" t="s">
        <v>408</v>
      </c>
      <c r="D19" s="175">
        <v>1000</v>
      </c>
      <c r="E19" s="264" t="s">
        <v>554</v>
      </c>
      <c r="F19" s="40">
        <v>5000</v>
      </c>
      <c r="G19" s="37" t="s">
        <v>150</v>
      </c>
    </row>
    <row r="20" spans="1:7" ht="14.25" customHeight="1" x14ac:dyDescent="0.3">
      <c r="A20" s="40">
        <v>18</v>
      </c>
      <c r="B20" s="175" t="s">
        <v>409</v>
      </c>
      <c r="C20" s="175" t="s">
        <v>394</v>
      </c>
      <c r="D20" s="175">
        <v>600</v>
      </c>
      <c r="E20" s="264" t="s">
        <v>151</v>
      </c>
      <c r="F20" s="40">
        <v>5000</v>
      </c>
      <c r="G20" s="37" t="s">
        <v>151</v>
      </c>
    </row>
    <row r="21" spans="1:7" ht="14.25" customHeight="1" x14ac:dyDescent="0.3">
      <c r="A21" s="40">
        <v>19</v>
      </c>
      <c r="B21" s="175" t="s">
        <v>409</v>
      </c>
      <c r="C21" s="175" t="s">
        <v>154</v>
      </c>
      <c r="D21" s="175">
        <v>600</v>
      </c>
      <c r="E21" s="264" t="s">
        <v>151</v>
      </c>
      <c r="F21" s="40">
        <v>5000</v>
      </c>
      <c r="G21" s="37" t="s">
        <v>150</v>
      </c>
    </row>
    <row r="22" spans="1:7" ht="14.25" customHeight="1" x14ac:dyDescent="0.3">
      <c r="A22" s="40">
        <v>20</v>
      </c>
      <c r="B22" s="175" t="s">
        <v>409</v>
      </c>
      <c r="C22" s="175" t="s">
        <v>398</v>
      </c>
      <c r="D22" s="175">
        <v>600</v>
      </c>
      <c r="E22" s="264" t="s">
        <v>150</v>
      </c>
      <c r="F22" s="40">
        <v>5000</v>
      </c>
      <c r="G22" s="37" t="s">
        <v>150</v>
      </c>
    </row>
    <row r="23" spans="1:7" ht="14.25" customHeight="1" x14ac:dyDescent="0.3">
      <c r="A23" s="40">
        <v>21</v>
      </c>
      <c r="B23" s="175" t="s">
        <v>409</v>
      </c>
      <c r="C23" s="175" t="s">
        <v>402</v>
      </c>
      <c r="D23" s="175">
        <v>600</v>
      </c>
      <c r="E23" s="264" t="s">
        <v>153</v>
      </c>
      <c r="F23" s="40">
        <v>5000</v>
      </c>
      <c r="G23" s="37" t="s">
        <v>150</v>
      </c>
    </row>
    <row r="24" spans="1:7" ht="14.25" customHeight="1" x14ac:dyDescent="0.3">
      <c r="A24" s="40">
        <v>22</v>
      </c>
      <c r="B24" s="175" t="s">
        <v>409</v>
      </c>
      <c r="C24" s="175" t="s">
        <v>343</v>
      </c>
      <c r="D24" s="175">
        <v>600</v>
      </c>
      <c r="E24" s="264" t="s">
        <v>150</v>
      </c>
      <c r="F24" s="40">
        <v>5000</v>
      </c>
      <c r="G24" s="37" t="s">
        <v>150</v>
      </c>
    </row>
    <row r="25" spans="1:7" ht="14.25" customHeight="1" x14ac:dyDescent="0.3">
      <c r="A25" s="40">
        <v>23</v>
      </c>
      <c r="B25" s="175" t="s">
        <v>409</v>
      </c>
      <c r="C25" s="175" t="s">
        <v>160</v>
      </c>
      <c r="D25" s="175">
        <v>600</v>
      </c>
      <c r="E25" s="264" t="s">
        <v>150</v>
      </c>
      <c r="F25" s="40">
        <v>5000</v>
      </c>
      <c r="G25" s="37" t="s">
        <v>150</v>
      </c>
    </row>
    <row r="26" spans="1:7" ht="14.25" customHeight="1" x14ac:dyDescent="0.3">
      <c r="A26" s="40">
        <v>24</v>
      </c>
      <c r="B26" s="175" t="s">
        <v>409</v>
      </c>
      <c r="C26" s="175" t="s">
        <v>407</v>
      </c>
      <c r="D26" s="175">
        <v>600</v>
      </c>
      <c r="E26" s="264" t="s">
        <v>150</v>
      </c>
      <c r="F26" s="40">
        <v>5000</v>
      </c>
      <c r="G26" s="37" t="s">
        <v>150</v>
      </c>
    </row>
    <row r="27" spans="1:7" ht="14.25" customHeight="1" x14ac:dyDescent="0.3">
      <c r="A27" s="40">
        <v>25</v>
      </c>
      <c r="B27" s="175" t="s">
        <v>409</v>
      </c>
      <c r="C27" s="175" t="s">
        <v>408</v>
      </c>
      <c r="D27" s="175">
        <v>600</v>
      </c>
      <c r="E27" s="264" t="s">
        <v>150</v>
      </c>
      <c r="F27" s="40">
        <v>5000</v>
      </c>
      <c r="G27" s="37" t="s">
        <v>150</v>
      </c>
    </row>
    <row r="28" spans="1:7" ht="14.25" customHeight="1" x14ac:dyDescent="0.3">
      <c r="A28" s="40">
        <v>26</v>
      </c>
      <c r="B28" s="175" t="s">
        <v>409</v>
      </c>
      <c r="C28" s="175" t="s">
        <v>394</v>
      </c>
      <c r="D28" s="175">
        <v>1000</v>
      </c>
      <c r="E28" s="264" t="s">
        <v>151</v>
      </c>
      <c r="F28" s="40">
        <v>5000</v>
      </c>
      <c r="G28" s="37" t="s">
        <v>151</v>
      </c>
    </row>
    <row r="29" spans="1:7" ht="14.25" customHeight="1" x14ac:dyDescent="0.3">
      <c r="A29" s="40">
        <v>27</v>
      </c>
      <c r="B29" s="175" t="s">
        <v>409</v>
      </c>
      <c r="C29" s="175" t="s">
        <v>154</v>
      </c>
      <c r="D29" s="175">
        <v>1000</v>
      </c>
      <c r="E29" s="264" t="s">
        <v>150</v>
      </c>
      <c r="F29" s="40">
        <v>5000</v>
      </c>
      <c r="G29" s="37" t="s">
        <v>150</v>
      </c>
    </row>
    <row r="30" spans="1:7" ht="14.25" customHeight="1" x14ac:dyDescent="0.3">
      <c r="A30" s="40">
        <v>28</v>
      </c>
      <c r="B30" s="175" t="s">
        <v>409</v>
      </c>
      <c r="C30" s="175" t="s">
        <v>398</v>
      </c>
      <c r="D30" s="175">
        <v>1000</v>
      </c>
      <c r="E30" s="264" t="s">
        <v>150</v>
      </c>
      <c r="F30" s="40">
        <v>5000</v>
      </c>
      <c r="G30" s="37" t="s">
        <v>150</v>
      </c>
    </row>
    <row r="31" spans="1:7" ht="14.25" customHeight="1" x14ac:dyDescent="0.3">
      <c r="A31" s="40">
        <v>29</v>
      </c>
      <c r="B31" s="175" t="s">
        <v>409</v>
      </c>
      <c r="C31" s="175" t="s">
        <v>402</v>
      </c>
      <c r="D31" s="175">
        <v>1000</v>
      </c>
      <c r="E31" s="264" t="s">
        <v>153</v>
      </c>
      <c r="F31" s="40">
        <v>5000</v>
      </c>
      <c r="G31" s="37" t="s">
        <v>150</v>
      </c>
    </row>
    <row r="32" spans="1:7" ht="14.25" customHeight="1" x14ac:dyDescent="0.3">
      <c r="A32" s="40">
        <v>30</v>
      </c>
      <c r="B32" s="175" t="s">
        <v>409</v>
      </c>
      <c r="C32" s="175" t="s">
        <v>343</v>
      </c>
      <c r="D32" s="175">
        <v>1000</v>
      </c>
      <c r="E32" s="264" t="s">
        <v>150</v>
      </c>
      <c r="F32" s="40">
        <v>5000</v>
      </c>
      <c r="G32" s="37" t="s">
        <v>150</v>
      </c>
    </row>
    <row r="33" spans="1:7" ht="14.25" customHeight="1" x14ac:dyDescent="0.3">
      <c r="A33" s="40">
        <v>31</v>
      </c>
      <c r="B33" s="175" t="s">
        <v>409</v>
      </c>
      <c r="C33" s="175" t="s">
        <v>160</v>
      </c>
      <c r="D33" s="175">
        <v>1000</v>
      </c>
      <c r="E33" s="264" t="s">
        <v>150</v>
      </c>
      <c r="F33" s="40">
        <v>5000</v>
      </c>
      <c r="G33" s="37" t="s">
        <v>150</v>
      </c>
    </row>
    <row r="34" spans="1:7" ht="14.25" customHeight="1" x14ac:dyDescent="0.3">
      <c r="A34" s="40">
        <v>32</v>
      </c>
      <c r="B34" s="175" t="s">
        <v>409</v>
      </c>
      <c r="C34" s="175" t="s">
        <v>407</v>
      </c>
      <c r="D34" s="175">
        <v>1000</v>
      </c>
      <c r="E34" s="264" t="s">
        <v>150</v>
      </c>
      <c r="F34" s="40">
        <v>5000</v>
      </c>
      <c r="G34" s="37" t="s">
        <v>150</v>
      </c>
    </row>
    <row r="35" spans="1:7" ht="14.25" customHeight="1" x14ac:dyDescent="0.3">
      <c r="A35" s="40">
        <v>33</v>
      </c>
      <c r="B35" s="175" t="s">
        <v>409</v>
      </c>
      <c r="C35" s="175" t="s">
        <v>408</v>
      </c>
      <c r="D35" s="175">
        <v>1000</v>
      </c>
      <c r="E35" s="264" t="s">
        <v>150</v>
      </c>
      <c r="F35" s="40">
        <v>5000</v>
      </c>
      <c r="G35" s="37" t="s">
        <v>150</v>
      </c>
    </row>
    <row r="36" spans="1:7" ht="14.25" customHeight="1" x14ac:dyDescent="0.3">
      <c r="A36" s="40">
        <v>34</v>
      </c>
      <c r="B36" s="175" t="s">
        <v>138</v>
      </c>
      <c r="C36" s="175" t="s">
        <v>394</v>
      </c>
      <c r="D36" s="175">
        <v>1000</v>
      </c>
      <c r="E36" s="264" t="s">
        <v>151</v>
      </c>
      <c r="F36" s="40">
        <v>5000</v>
      </c>
      <c r="G36" s="37" t="s">
        <v>151</v>
      </c>
    </row>
    <row r="37" spans="1:7" ht="14.25" customHeight="1" x14ac:dyDescent="0.3">
      <c r="A37" s="40">
        <v>35</v>
      </c>
      <c r="B37" s="175" t="s">
        <v>138</v>
      </c>
      <c r="C37" s="175" t="s">
        <v>154</v>
      </c>
      <c r="D37" s="175">
        <v>1000</v>
      </c>
      <c r="E37" s="264" t="s">
        <v>151</v>
      </c>
      <c r="F37" s="40">
        <v>5000</v>
      </c>
      <c r="G37" s="37" t="s">
        <v>150</v>
      </c>
    </row>
    <row r="38" spans="1:7" ht="14.25" customHeight="1" x14ac:dyDescent="0.3">
      <c r="A38" s="40">
        <v>36</v>
      </c>
      <c r="B38" s="175" t="s">
        <v>138</v>
      </c>
      <c r="C38" s="175" t="s">
        <v>398</v>
      </c>
      <c r="D38" s="175">
        <v>1000</v>
      </c>
      <c r="E38" s="264" t="s">
        <v>151</v>
      </c>
      <c r="F38" s="40">
        <v>5000</v>
      </c>
      <c r="G38" s="37" t="s">
        <v>150</v>
      </c>
    </row>
    <row r="39" spans="1:7" ht="14.25" customHeight="1" x14ac:dyDescent="0.3">
      <c r="A39" s="40">
        <v>37</v>
      </c>
      <c r="B39" s="175" t="s">
        <v>138</v>
      </c>
      <c r="C39" s="175" t="s">
        <v>402</v>
      </c>
      <c r="D39" s="175">
        <v>1000</v>
      </c>
      <c r="E39" s="264" t="s">
        <v>151</v>
      </c>
      <c r="F39" s="40">
        <v>5000</v>
      </c>
      <c r="G39" s="37" t="s">
        <v>150</v>
      </c>
    </row>
    <row r="40" spans="1:7" ht="14.25" customHeight="1" x14ac:dyDescent="0.3">
      <c r="A40" s="40">
        <v>38</v>
      </c>
      <c r="B40" s="175" t="s">
        <v>138</v>
      </c>
      <c r="C40" s="175" t="s">
        <v>343</v>
      </c>
      <c r="D40" s="175">
        <v>1000</v>
      </c>
      <c r="E40" s="264" t="s">
        <v>151</v>
      </c>
      <c r="F40" s="40">
        <v>5000</v>
      </c>
      <c r="G40" s="37" t="s">
        <v>150</v>
      </c>
    </row>
    <row r="41" spans="1:7" ht="14.25" customHeight="1" x14ac:dyDescent="0.3">
      <c r="A41" s="40">
        <v>39</v>
      </c>
      <c r="B41" s="175" t="s">
        <v>138</v>
      </c>
      <c r="C41" s="175" t="s">
        <v>160</v>
      </c>
      <c r="D41" s="175">
        <v>1000</v>
      </c>
      <c r="E41" s="264" t="s">
        <v>150</v>
      </c>
      <c r="F41" s="40">
        <v>5000</v>
      </c>
      <c r="G41" s="37" t="s">
        <v>150</v>
      </c>
    </row>
    <row r="42" spans="1:7" ht="14.25" customHeight="1" x14ac:dyDescent="0.3">
      <c r="A42" s="40">
        <v>40</v>
      </c>
      <c r="B42" s="175" t="s">
        <v>138</v>
      </c>
      <c r="C42" s="175" t="s">
        <v>407</v>
      </c>
      <c r="D42" s="175">
        <v>1000</v>
      </c>
      <c r="E42" s="264" t="s">
        <v>150</v>
      </c>
      <c r="F42" s="40">
        <v>5000</v>
      </c>
      <c r="G42" s="37" t="s">
        <v>150</v>
      </c>
    </row>
    <row r="43" spans="1:7" ht="14.25" customHeight="1" x14ac:dyDescent="0.3">
      <c r="A43" s="40">
        <v>41</v>
      </c>
      <c r="B43" s="175" t="s">
        <v>138</v>
      </c>
      <c r="C43" s="175" t="s">
        <v>408</v>
      </c>
      <c r="D43" s="175">
        <v>1000</v>
      </c>
      <c r="E43" s="264" t="s">
        <v>150</v>
      </c>
      <c r="F43" s="40">
        <v>5000</v>
      </c>
      <c r="G43" s="37" t="s">
        <v>150</v>
      </c>
    </row>
    <row r="44" spans="1:7" ht="14.25" customHeight="1" x14ac:dyDescent="0.3">
      <c r="A44" s="40">
        <v>42</v>
      </c>
      <c r="B44" s="175" t="s">
        <v>138</v>
      </c>
      <c r="C44" s="175" t="s">
        <v>394</v>
      </c>
      <c r="D44" s="175">
        <v>2500</v>
      </c>
      <c r="E44" s="264" t="s">
        <v>151</v>
      </c>
      <c r="F44" s="40">
        <v>5000</v>
      </c>
      <c r="G44" s="37" t="s">
        <v>151</v>
      </c>
    </row>
    <row r="45" spans="1:7" ht="14.25" customHeight="1" x14ac:dyDescent="0.3">
      <c r="A45" s="40">
        <v>43</v>
      </c>
      <c r="B45" s="175" t="s">
        <v>138</v>
      </c>
      <c r="C45" s="175" t="s">
        <v>154</v>
      </c>
      <c r="D45" s="175">
        <v>2500</v>
      </c>
      <c r="E45" s="264" t="s">
        <v>151</v>
      </c>
      <c r="F45" s="40">
        <v>5000</v>
      </c>
      <c r="G45" s="37" t="s">
        <v>150</v>
      </c>
    </row>
    <row r="46" spans="1:7" ht="14.25" customHeight="1" x14ac:dyDescent="0.3">
      <c r="A46" s="40">
        <v>44</v>
      </c>
      <c r="B46" s="175" t="s">
        <v>138</v>
      </c>
      <c r="C46" s="175" t="s">
        <v>398</v>
      </c>
      <c r="D46" s="175">
        <v>2500</v>
      </c>
      <c r="E46" s="264" t="s">
        <v>150</v>
      </c>
      <c r="F46" s="40">
        <v>5000</v>
      </c>
      <c r="G46" s="37" t="s">
        <v>150</v>
      </c>
    </row>
    <row r="47" spans="1:7" ht="14.25" customHeight="1" x14ac:dyDescent="0.3">
      <c r="A47" s="40">
        <v>45</v>
      </c>
      <c r="B47" s="175" t="s">
        <v>138</v>
      </c>
      <c r="C47" s="175" t="s">
        <v>402</v>
      </c>
      <c r="D47" s="175">
        <v>2500</v>
      </c>
      <c r="E47" s="264" t="s">
        <v>153</v>
      </c>
      <c r="F47" s="40">
        <v>5000</v>
      </c>
      <c r="G47" s="37" t="s">
        <v>150</v>
      </c>
    </row>
    <row r="48" spans="1:7" ht="14.25" customHeight="1" x14ac:dyDescent="0.3">
      <c r="A48" s="40">
        <v>46</v>
      </c>
      <c r="B48" s="175" t="s">
        <v>138</v>
      </c>
      <c r="C48" s="175" t="s">
        <v>343</v>
      </c>
      <c r="D48" s="175">
        <v>2500</v>
      </c>
      <c r="E48" s="264" t="s">
        <v>150</v>
      </c>
      <c r="F48" s="40">
        <v>5000</v>
      </c>
      <c r="G48" s="37" t="s">
        <v>150</v>
      </c>
    </row>
    <row r="49" spans="1:7" ht="14.25" customHeight="1" x14ac:dyDescent="0.3">
      <c r="A49" s="40">
        <v>47</v>
      </c>
      <c r="B49" s="175" t="s">
        <v>138</v>
      </c>
      <c r="C49" s="175" t="s">
        <v>160</v>
      </c>
      <c r="D49" s="175">
        <v>2500</v>
      </c>
      <c r="E49" s="264" t="s">
        <v>150</v>
      </c>
      <c r="F49" s="40">
        <v>5000</v>
      </c>
      <c r="G49" s="37" t="s">
        <v>150</v>
      </c>
    </row>
    <row r="50" spans="1:7" ht="14.25" customHeight="1" x14ac:dyDescent="0.3">
      <c r="A50" s="40">
        <v>48</v>
      </c>
      <c r="B50" s="175" t="s">
        <v>138</v>
      </c>
      <c r="C50" s="175" t="s">
        <v>407</v>
      </c>
      <c r="D50" s="175">
        <v>2500</v>
      </c>
      <c r="E50" s="264" t="s">
        <v>150</v>
      </c>
      <c r="F50" s="40">
        <v>5000</v>
      </c>
      <c r="G50" s="37" t="s">
        <v>150</v>
      </c>
    </row>
    <row r="51" spans="1:7" ht="14.25" customHeight="1" x14ac:dyDescent="0.3">
      <c r="A51" s="40">
        <v>49</v>
      </c>
      <c r="B51" s="175" t="s">
        <v>138</v>
      </c>
      <c r="C51" s="175" t="s">
        <v>408</v>
      </c>
      <c r="D51" s="175">
        <v>2500</v>
      </c>
      <c r="E51" s="264" t="s">
        <v>150</v>
      </c>
      <c r="F51" s="40">
        <v>5000</v>
      </c>
      <c r="G51" s="37" t="s">
        <v>150</v>
      </c>
    </row>
    <row r="52" spans="1:7" ht="14.25" customHeight="1" x14ac:dyDescent="0.3">
      <c r="A52" s="40">
        <v>50</v>
      </c>
      <c r="B52" s="175" t="s">
        <v>138</v>
      </c>
      <c r="C52" s="175" t="s">
        <v>394</v>
      </c>
      <c r="D52" s="175">
        <v>3500</v>
      </c>
      <c r="E52" s="264" t="s">
        <v>151</v>
      </c>
      <c r="F52" s="40">
        <v>5000</v>
      </c>
      <c r="G52" s="37" t="s">
        <v>151</v>
      </c>
    </row>
    <row r="53" spans="1:7" ht="14.25" customHeight="1" x14ac:dyDescent="0.3">
      <c r="A53" s="40">
        <v>51</v>
      </c>
      <c r="B53" s="175" t="s">
        <v>138</v>
      </c>
      <c r="C53" s="175" t="s">
        <v>154</v>
      </c>
      <c r="D53" s="175">
        <v>3500</v>
      </c>
      <c r="E53" s="264" t="s">
        <v>150</v>
      </c>
      <c r="F53" s="40">
        <v>5000</v>
      </c>
      <c r="G53" s="37" t="s">
        <v>150</v>
      </c>
    </row>
    <row r="54" spans="1:7" ht="14.25" customHeight="1" x14ac:dyDescent="0.3">
      <c r="A54" s="40">
        <v>52</v>
      </c>
      <c r="B54" s="175" t="s">
        <v>138</v>
      </c>
      <c r="C54" s="175" t="s">
        <v>398</v>
      </c>
      <c r="D54" s="175">
        <v>3500</v>
      </c>
      <c r="E54" s="264" t="s">
        <v>150</v>
      </c>
      <c r="F54" s="40">
        <v>5000</v>
      </c>
      <c r="G54" s="37" t="s">
        <v>150</v>
      </c>
    </row>
    <row r="55" spans="1:7" ht="14.25" customHeight="1" x14ac:dyDescent="0.3">
      <c r="A55" s="40">
        <v>53</v>
      </c>
      <c r="B55" s="175" t="s">
        <v>138</v>
      </c>
      <c r="C55" s="175" t="s">
        <v>402</v>
      </c>
      <c r="D55" s="175">
        <v>3500</v>
      </c>
      <c r="E55" s="264" t="s">
        <v>153</v>
      </c>
      <c r="F55" s="40">
        <v>5000</v>
      </c>
      <c r="G55" s="37" t="s">
        <v>150</v>
      </c>
    </row>
    <row r="56" spans="1:7" ht="14.25" customHeight="1" x14ac:dyDescent="0.3">
      <c r="A56" s="40">
        <v>54</v>
      </c>
      <c r="B56" s="175" t="s">
        <v>138</v>
      </c>
      <c r="C56" s="175" t="s">
        <v>343</v>
      </c>
      <c r="D56" s="175">
        <v>3500</v>
      </c>
      <c r="E56" s="264" t="s">
        <v>150</v>
      </c>
      <c r="F56" s="40">
        <v>5000</v>
      </c>
      <c r="G56" s="37" t="s">
        <v>150</v>
      </c>
    </row>
    <row r="57" spans="1:7" ht="14.25" customHeight="1" x14ac:dyDescent="0.3">
      <c r="A57" s="40">
        <v>55</v>
      </c>
      <c r="B57" s="175" t="s">
        <v>138</v>
      </c>
      <c r="C57" s="175" t="s">
        <v>160</v>
      </c>
      <c r="D57" s="175">
        <v>3500</v>
      </c>
      <c r="E57" s="264" t="s">
        <v>150</v>
      </c>
      <c r="F57" s="40">
        <v>5000</v>
      </c>
      <c r="G57" s="37" t="s">
        <v>150</v>
      </c>
    </row>
    <row r="58" spans="1:7" ht="14.25" customHeight="1" x14ac:dyDescent="0.3">
      <c r="A58" s="40">
        <v>56</v>
      </c>
      <c r="B58" s="175" t="s">
        <v>138</v>
      </c>
      <c r="C58" s="175" t="s">
        <v>407</v>
      </c>
      <c r="D58" s="175">
        <v>3500</v>
      </c>
      <c r="E58" s="264" t="s">
        <v>150</v>
      </c>
      <c r="F58" s="40">
        <v>5000</v>
      </c>
      <c r="G58" s="37" t="s">
        <v>150</v>
      </c>
    </row>
    <row r="59" spans="1:7" ht="14.25" customHeight="1" x14ac:dyDescent="0.3">
      <c r="A59" s="40">
        <v>57</v>
      </c>
      <c r="B59" s="175" t="s">
        <v>138</v>
      </c>
      <c r="C59" s="175" t="s">
        <v>408</v>
      </c>
      <c r="D59" s="175">
        <v>3500</v>
      </c>
      <c r="E59" s="264" t="s">
        <v>150</v>
      </c>
      <c r="F59" s="40">
        <v>5000</v>
      </c>
      <c r="G59" s="37" t="s">
        <v>150</v>
      </c>
    </row>
    <row r="60" spans="1:7" ht="14.25" customHeight="1" x14ac:dyDescent="0.3">
      <c r="A60" s="40">
        <v>58</v>
      </c>
      <c r="B60" s="175" t="s">
        <v>155</v>
      </c>
      <c r="C60" s="175" t="s">
        <v>394</v>
      </c>
      <c r="D60" s="175">
        <v>2500</v>
      </c>
      <c r="E60" s="264" t="s">
        <v>151</v>
      </c>
      <c r="F60" s="40">
        <v>5000</v>
      </c>
      <c r="G60" s="37" t="s">
        <v>151</v>
      </c>
    </row>
    <row r="61" spans="1:7" ht="14.25" customHeight="1" x14ac:dyDescent="0.3">
      <c r="A61" s="40">
        <v>59</v>
      </c>
      <c r="B61" s="175" t="s">
        <v>155</v>
      </c>
      <c r="C61" s="175" t="s">
        <v>154</v>
      </c>
      <c r="D61" s="175">
        <v>2500</v>
      </c>
      <c r="E61" s="264" t="s">
        <v>151</v>
      </c>
      <c r="F61" s="40">
        <v>5000</v>
      </c>
      <c r="G61" s="37" t="s">
        <v>150</v>
      </c>
    </row>
    <row r="62" spans="1:7" ht="14.25" customHeight="1" x14ac:dyDescent="0.3">
      <c r="A62" s="40">
        <v>60</v>
      </c>
      <c r="B62" s="175" t="s">
        <v>155</v>
      </c>
      <c r="C62" s="175" t="s">
        <v>398</v>
      </c>
      <c r="D62" s="175">
        <v>2500</v>
      </c>
      <c r="E62" s="264" t="s">
        <v>151</v>
      </c>
      <c r="F62" s="40">
        <v>5000</v>
      </c>
      <c r="G62" s="37" t="s">
        <v>150</v>
      </c>
    </row>
    <row r="63" spans="1:7" ht="14.25" customHeight="1" x14ac:dyDescent="0.3">
      <c r="A63" s="40">
        <v>61</v>
      </c>
      <c r="B63" s="175" t="s">
        <v>155</v>
      </c>
      <c r="C63" s="175" t="s">
        <v>402</v>
      </c>
      <c r="D63" s="175">
        <v>2500</v>
      </c>
      <c r="E63" s="264" t="s">
        <v>151</v>
      </c>
      <c r="F63" s="40">
        <v>5000</v>
      </c>
      <c r="G63" s="37" t="s">
        <v>150</v>
      </c>
    </row>
    <row r="64" spans="1:7" ht="14.25" customHeight="1" x14ac:dyDescent="0.3">
      <c r="A64" s="40">
        <v>62</v>
      </c>
      <c r="B64" s="175" t="s">
        <v>155</v>
      </c>
      <c r="C64" s="175" t="s">
        <v>343</v>
      </c>
      <c r="D64" s="175">
        <v>2500</v>
      </c>
      <c r="E64" s="264" t="s">
        <v>151</v>
      </c>
      <c r="F64" s="40">
        <v>5000</v>
      </c>
      <c r="G64" s="37" t="s">
        <v>150</v>
      </c>
    </row>
    <row r="65" spans="1:7" ht="14.25" customHeight="1" x14ac:dyDescent="0.3">
      <c r="A65" s="40">
        <v>63</v>
      </c>
      <c r="B65" s="175" t="s">
        <v>155</v>
      </c>
      <c r="C65" s="175" t="s">
        <v>160</v>
      </c>
      <c r="D65" s="175">
        <v>2500</v>
      </c>
      <c r="E65" s="264" t="s">
        <v>150</v>
      </c>
      <c r="F65" s="40">
        <v>5000</v>
      </c>
      <c r="G65" s="37" t="s">
        <v>150</v>
      </c>
    </row>
    <row r="66" spans="1:7" ht="14.25" customHeight="1" x14ac:dyDescent="0.3">
      <c r="A66" s="40">
        <v>64</v>
      </c>
      <c r="B66" s="175" t="s">
        <v>155</v>
      </c>
      <c r="C66" s="175" t="s">
        <v>407</v>
      </c>
      <c r="D66" s="175">
        <v>2500</v>
      </c>
      <c r="E66" s="264" t="s">
        <v>150</v>
      </c>
      <c r="F66" s="40">
        <v>5000</v>
      </c>
      <c r="G66" s="37" t="s">
        <v>150</v>
      </c>
    </row>
    <row r="67" spans="1:7" ht="14.25" customHeight="1" x14ac:dyDescent="0.3">
      <c r="A67" s="40">
        <v>65</v>
      </c>
      <c r="B67" s="175" t="s">
        <v>155</v>
      </c>
      <c r="C67" s="175" t="s">
        <v>408</v>
      </c>
      <c r="D67" s="175">
        <v>2500</v>
      </c>
      <c r="E67" s="264" t="s">
        <v>150</v>
      </c>
      <c r="F67" s="40">
        <v>5000</v>
      </c>
      <c r="G67" s="37" t="s">
        <v>150</v>
      </c>
    </row>
    <row r="68" spans="1:7" ht="14.25" customHeight="1" x14ac:dyDescent="0.3">
      <c r="A68" s="40">
        <v>66</v>
      </c>
      <c r="B68" s="175" t="s">
        <v>155</v>
      </c>
      <c r="C68" s="175" t="s">
        <v>394</v>
      </c>
      <c r="D68" s="175">
        <v>3500</v>
      </c>
      <c r="E68" s="264" t="s">
        <v>151</v>
      </c>
      <c r="F68" s="40">
        <v>5000</v>
      </c>
      <c r="G68" s="37" t="s">
        <v>151</v>
      </c>
    </row>
    <row r="69" spans="1:7" ht="14.25" customHeight="1" x14ac:dyDescent="0.3">
      <c r="A69" s="40">
        <v>67</v>
      </c>
      <c r="B69" s="175" t="s">
        <v>155</v>
      </c>
      <c r="C69" s="175" t="s">
        <v>154</v>
      </c>
      <c r="D69" s="175">
        <v>3500</v>
      </c>
      <c r="E69" s="264" t="s">
        <v>151</v>
      </c>
      <c r="F69" s="40">
        <v>5000</v>
      </c>
      <c r="G69" s="37" t="s">
        <v>150</v>
      </c>
    </row>
    <row r="70" spans="1:7" ht="14.25" customHeight="1" x14ac:dyDescent="0.3">
      <c r="A70" s="40">
        <v>68</v>
      </c>
      <c r="B70" s="175" t="s">
        <v>155</v>
      </c>
      <c r="C70" s="175" t="s">
        <v>398</v>
      </c>
      <c r="D70" s="175">
        <v>3500</v>
      </c>
      <c r="E70" s="264" t="s">
        <v>150</v>
      </c>
      <c r="F70" s="40">
        <v>5000</v>
      </c>
      <c r="G70" s="37" t="s">
        <v>150</v>
      </c>
    </row>
    <row r="71" spans="1:7" ht="14.25" customHeight="1" x14ac:dyDescent="0.3">
      <c r="A71" s="40">
        <v>69</v>
      </c>
      <c r="B71" s="175" t="s">
        <v>155</v>
      </c>
      <c r="C71" s="175" t="s">
        <v>402</v>
      </c>
      <c r="D71" s="175">
        <v>3500</v>
      </c>
      <c r="E71" s="264" t="s">
        <v>150</v>
      </c>
      <c r="F71" s="40">
        <v>5000</v>
      </c>
      <c r="G71" s="37" t="s">
        <v>150</v>
      </c>
    </row>
    <row r="72" spans="1:7" ht="14.25" customHeight="1" x14ac:dyDescent="0.3">
      <c r="A72" s="40">
        <v>70</v>
      </c>
      <c r="B72" s="175" t="s">
        <v>155</v>
      </c>
      <c r="C72" s="175" t="s">
        <v>343</v>
      </c>
      <c r="D72" s="175">
        <v>3500</v>
      </c>
      <c r="E72" s="264" t="s">
        <v>150</v>
      </c>
      <c r="F72" s="40">
        <v>5000</v>
      </c>
      <c r="G72" s="37" t="s">
        <v>150</v>
      </c>
    </row>
    <row r="73" spans="1:7" ht="14.25" customHeight="1" x14ac:dyDescent="0.3">
      <c r="A73" s="40">
        <v>71</v>
      </c>
      <c r="B73" s="175" t="s">
        <v>155</v>
      </c>
      <c r="C73" s="175" t="s">
        <v>160</v>
      </c>
      <c r="D73" s="175">
        <v>3500</v>
      </c>
      <c r="E73" s="264" t="s">
        <v>150</v>
      </c>
      <c r="F73" s="40">
        <v>5000</v>
      </c>
      <c r="G73" s="37" t="s">
        <v>150</v>
      </c>
    </row>
    <row r="74" spans="1:7" ht="14.25" customHeight="1" x14ac:dyDescent="0.3">
      <c r="A74" s="40">
        <v>72</v>
      </c>
      <c r="B74" s="175" t="s">
        <v>155</v>
      </c>
      <c r="C74" s="175" t="s">
        <v>407</v>
      </c>
      <c r="D74" s="175">
        <v>3500</v>
      </c>
      <c r="E74" s="264" t="s">
        <v>150</v>
      </c>
      <c r="F74" s="40">
        <v>5000</v>
      </c>
      <c r="G74" s="37" t="s">
        <v>150</v>
      </c>
    </row>
    <row r="75" spans="1:7" ht="14.25" customHeight="1" x14ac:dyDescent="0.3">
      <c r="A75" s="40">
        <v>73</v>
      </c>
      <c r="B75" s="175" t="s">
        <v>155</v>
      </c>
      <c r="C75" s="175" t="s">
        <v>408</v>
      </c>
      <c r="D75" s="175">
        <v>3500</v>
      </c>
      <c r="E75" s="264" t="s">
        <v>150</v>
      </c>
      <c r="F75" s="40">
        <v>5000</v>
      </c>
      <c r="G75" s="37" t="s">
        <v>150</v>
      </c>
    </row>
    <row r="76" spans="1:7" ht="14.25" customHeight="1" x14ac:dyDescent="0.3">
      <c r="A76" s="40">
        <v>74</v>
      </c>
      <c r="B76" s="175" t="s">
        <v>155</v>
      </c>
      <c r="C76" s="175" t="s">
        <v>394</v>
      </c>
      <c r="D76" s="175">
        <v>5000</v>
      </c>
      <c r="E76" s="264" t="s">
        <v>151</v>
      </c>
      <c r="F76" s="40">
        <v>5000</v>
      </c>
      <c r="G76" s="37" t="s">
        <v>151</v>
      </c>
    </row>
    <row r="77" spans="1:7" ht="14.25" customHeight="1" x14ac:dyDescent="0.3">
      <c r="A77" s="40">
        <v>75</v>
      </c>
      <c r="B77" s="175" t="s">
        <v>155</v>
      </c>
      <c r="C77" s="175" t="s">
        <v>154</v>
      </c>
      <c r="D77" s="175">
        <v>5000</v>
      </c>
      <c r="E77" s="264" t="s">
        <v>150</v>
      </c>
      <c r="F77" s="40">
        <v>5000</v>
      </c>
      <c r="G77" s="37" t="s">
        <v>150</v>
      </c>
    </row>
    <row r="78" spans="1:7" ht="14.25" customHeight="1" x14ac:dyDescent="0.3">
      <c r="A78" s="40">
        <v>76</v>
      </c>
      <c r="B78" s="175" t="s">
        <v>155</v>
      </c>
      <c r="C78" s="175" t="s">
        <v>398</v>
      </c>
      <c r="D78" s="175">
        <v>5000</v>
      </c>
      <c r="E78" s="264" t="s">
        <v>150</v>
      </c>
      <c r="F78" s="40">
        <v>5000</v>
      </c>
      <c r="G78" s="37" t="s">
        <v>150</v>
      </c>
    </row>
    <row r="79" spans="1:7" ht="14.25" customHeight="1" x14ac:dyDescent="0.3">
      <c r="A79" s="40">
        <v>77</v>
      </c>
      <c r="B79" s="175" t="s">
        <v>155</v>
      </c>
      <c r="C79" s="175" t="s">
        <v>402</v>
      </c>
      <c r="D79" s="175">
        <v>5000</v>
      </c>
      <c r="E79" s="264" t="s">
        <v>150</v>
      </c>
      <c r="F79" s="40">
        <v>5000</v>
      </c>
      <c r="G79" s="37" t="s">
        <v>150</v>
      </c>
    </row>
    <row r="80" spans="1:7" ht="14.25" customHeight="1" x14ac:dyDescent="0.3">
      <c r="A80" s="40">
        <v>78</v>
      </c>
      <c r="B80" s="175" t="s">
        <v>155</v>
      </c>
      <c r="C80" s="175" t="s">
        <v>343</v>
      </c>
      <c r="D80" s="175">
        <v>5000</v>
      </c>
      <c r="E80" s="264" t="s">
        <v>150</v>
      </c>
      <c r="F80" s="40">
        <v>5000</v>
      </c>
      <c r="G80" s="37" t="s">
        <v>150</v>
      </c>
    </row>
    <row r="81" spans="1:31" ht="14.25" customHeight="1" x14ac:dyDescent="0.3">
      <c r="A81" s="40">
        <v>79</v>
      </c>
      <c r="B81" s="175" t="s">
        <v>155</v>
      </c>
      <c r="C81" s="175" t="s">
        <v>160</v>
      </c>
      <c r="D81" s="175">
        <v>5000</v>
      </c>
      <c r="E81" s="264" t="s">
        <v>150</v>
      </c>
      <c r="F81" s="40">
        <v>5000</v>
      </c>
      <c r="G81" s="37" t="s">
        <v>150</v>
      </c>
    </row>
    <row r="82" spans="1:31" ht="14.25" customHeight="1" x14ac:dyDescent="0.3">
      <c r="A82" s="40">
        <v>80</v>
      </c>
      <c r="B82" s="175" t="s">
        <v>155</v>
      </c>
      <c r="C82" s="175" t="s">
        <v>407</v>
      </c>
      <c r="D82" s="175">
        <v>5000</v>
      </c>
      <c r="E82" s="264" t="s">
        <v>150</v>
      </c>
      <c r="F82" s="40">
        <v>5000</v>
      </c>
      <c r="G82" s="37" t="s">
        <v>150</v>
      </c>
    </row>
    <row r="83" spans="1:31" ht="14.25" customHeight="1" x14ac:dyDescent="0.3">
      <c r="A83" s="40">
        <v>81</v>
      </c>
      <c r="B83" s="175" t="s">
        <v>155</v>
      </c>
      <c r="C83" s="175" t="s">
        <v>408</v>
      </c>
      <c r="D83" s="175">
        <v>5000</v>
      </c>
      <c r="E83" s="264" t="s">
        <v>150</v>
      </c>
      <c r="F83" s="40">
        <v>5000</v>
      </c>
      <c r="G83" s="37" t="s">
        <v>150</v>
      </c>
    </row>
    <row r="84" spans="1:31" ht="14.25" customHeight="1" x14ac:dyDescent="0.3">
      <c r="A84" s="40">
        <v>82</v>
      </c>
      <c r="B84" s="175" t="s">
        <v>421</v>
      </c>
      <c r="C84" s="175" t="s">
        <v>394</v>
      </c>
      <c r="D84" s="175">
        <v>5000</v>
      </c>
      <c r="E84" s="264" t="s">
        <v>151</v>
      </c>
      <c r="F84" s="40">
        <v>5000</v>
      </c>
      <c r="G84" s="37" t="s">
        <v>151</v>
      </c>
    </row>
    <row r="85" spans="1:31" ht="14.25" customHeight="1" x14ac:dyDescent="0.3">
      <c r="A85" s="40">
        <v>83</v>
      </c>
      <c r="B85" s="175" t="s">
        <v>421</v>
      </c>
      <c r="C85" s="175" t="s">
        <v>154</v>
      </c>
      <c r="D85" s="175">
        <v>5000</v>
      </c>
      <c r="E85" s="264" t="s">
        <v>150</v>
      </c>
      <c r="F85" s="40">
        <v>5000</v>
      </c>
      <c r="G85" s="37" t="s">
        <v>150</v>
      </c>
    </row>
    <row r="86" spans="1:31" ht="14.25" customHeight="1" x14ac:dyDescent="0.3">
      <c r="A86" s="40">
        <v>84</v>
      </c>
      <c r="B86" s="175" t="s">
        <v>421</v>
      </c>
      <c r="C86" s="175" t="s">
        <v>398</v>
      </c>
      <c r="D86" s="175">
        <v>5000</v>
      </c>
      <c r="E86" s="264" t="s">
        <v>150</v>
      </c>
      <c r="F86" s="40">
        <v>5000</v>
      </c>
      <c r="G86" s="37" t="s">
        <v>150</v>
      </c>
    </row>
    <row r="87" spans="1:31" ht="14.25" customHeight="1" x14ac:dyDescent="0.3">
      <c r="A87" s="40">
        <v>85</v>
      </c>
      <c r="B87" s="175" t="s">
        <v>421</v>
      </c>
      <c r="C87" s="175" t="s">
        <v>402</v>
      </c>
      <c r="D87" s="175">
        <v>5000</v>
      </c>
      <c r="E87" s="264" t="s">
        <v>150</v>
      </c>
      <c r="F87" s="40">
        <v>5000</v>
      </c>
      <c r="G87" s="37" t="s">
        <v>150</v>
      </c>
    </row>
    <row r="88" spans="1:31" ht="14.25" customHeight="1" x14ac:dyDescent="0.3">
      <c r="A88" s="40">
        <v>86</v>
      </c>
      <c r="B88" s="175" t="s">
        <v>421</v>
      </c>
      <c r="C88" s="175" t="s">
        <v>343</v>
      </c>
      <c r="D88" s="175">
        <v>5000</v>
      </c>
      <c r="E88" s="264" t="s">
        <v>150</v>
      </c>
      <c r="F88" s="40">
        <v>5000</v>
      </c>
      <c r="G88" s="37" t="s">
        <v>150</v>
      </c>
    </row>
    <row r="89" spans="1:31" ht="14.25" customHeight="1" x14ac:dyDescent="0.3">
      <c r="A89" s="40">
        <v>87</v>
      </c>
      <c r="B89" s="175" t="s">
        <v>421</v>
      </c>
      <c r="C89" s="175" t="s">
        <v>160</v>
      </c>
      <c r="D89" s="175">
        <v>5000</v>
      </c>
      <c r="E89" s="264" t="s">
        <v>150</v>
      </c>
      <c r="F89" s="40">
        <v>5000</v>
      </c>
      <c r="G89" s="37" t="s">
        <v>150</v>
      </c>
    </row>
    <row r="90" spans="1:31" ht="14.25" customHeight="1" x14ac:dyDescent="0.3">
      <c r="A90" s="40">
        <v>88</v>
      </c>
      <c r="B90" s="175" t="s">
        <v>421</v>
      </c>
      <c r="C90" s="175" t="s">
        <v>407</v>
      </c>
      <c r="D90" s="175">
        <v>5000</v>
      </c>
      <c r="E90" s="264" t="s">
        <v>150</v>
      </c>
      <c r="F90" s="40">
        <v>5000</v>
      </c>
      <c r="G90" s="37" t="s">
        <v>150</v>
      </c>
    </row>
    <row r="91" spans="1:31" ht="14.25" customHeight="1" x14ac:dyDescent="0.3">
      <c r="A91" s="40">
        <v>89</v>
      </c>
      <c r="B91" s="175" t="s">
        <v>421</v>
      </c>
      <c r="C91" s="175" t="s">
        <v>408</v>
      </c>
      <c r="D91" s="175">
        <v>5000</v>
      </c>
      <c r="E91" s="264" t="s">
        <v>150</v>
      </c>
      <c r="F91" s="204">
        <v>5000</v>
      </c>
      <c r="G91" s="43" t="s">
        <v>150</v>
      </c>
    </row>
    <row r="92" spans="1:31" ht="14.25" customHeight="1" x14ac:dyDescent="0.3">
      <c r="K92" s="270"/>
      <c r="L92" s="270"/>
      <c r="M92" s="270"/>
      <c r="N92" s="270"/>
      <c r="O92" s="270"/>
      <c r="P92" s="270"/>
      <c r="Q92" s="270"/>
      <c r="R92" s="270"/>
      <c r="S92" s="270"/>
      <c r="T92" s="270"/>
      <c r="U92" s="270"/>
      <c r="V92" s="270"/>
      <c r="W92" s="270"/>
      <c r="X92" s="270"/>
      <c r="Y92" s="270"/>
      <c r="Z92" s="270"/>
      <c r="AA92" s="270"/>
      <c r="AB92" s="270"/>
      <c r="AC92" s="270"/>
      <c r="AD92" s="270"/>
      <c r="AE92" s="270"/>
    </row>
    <row r="93" spans="1:31" ht="14.25" customHeight="1" x14ac:dyDescent="0.3">
      <c r="A93" s="269"/>
      <c r="B93" s="269"/>
      <c r="C93" s="269"/>
      <c r="D93" s="269"/>
      <c r="E93" s="269"/>
      <c r="F93" s="269"/>
      <c r="G93" s="269"/>
      <c r="H93" s="269"/>
      <c r="I93" s="269"/>
    </row>
    <row r="94" spans="1:31" ht="35.25" customHeight="1" x14ac:dyDescent="0.3">
      <c r="A94" s="268" t="s">
        <v>662</v>
      </c>
      <c r="B94" s="269" t="s">
        <v>663</v>
      </c>
      <c r="C94" s="269"/>
      <c r="D94" s="269"/>
      <c r="E94" s="269"/>
      <c r="F94" s="269"/>
      <c r="G94" s="269"/>
      <c r="H94" s="269"/>
      <c r="I94" s="269"/>
    </row>
    <row r="95" spans="1:31" ht="23.25" customHeight="1" x14ac:dyDescent="0.3">
      <c r="A95" s="228" t="s">
        <v>385</v>
      </c>
      <c r="B95" s="261" t="s">
        <v>386</v>
      </c>
      <c r="C95" s="261" t="s">
        <v>387</v>
      </c>
      <c r="D95" s="261" t="s">
        <v>648</v>
      </c>
      <c r="E95" s="229" t="s">
        <v>649</v>
      </c>
      <c r="G95" s="269"/>
      <c r="H95" s="269"/>
      <c r="I95" s="269"/>
      <c r="J95" s="269"/>
      <c r="K95" s="271"/>
      <c r="L95" s="269"/>
      <c r="M95" s="269"/>
      <c r="N95" s="269"/>
      <c r="O95" s="269"/>
    </row>
    <row r="96" spans="1:31" ht="14.25" customHeight="1" x14ac:dyDescent="0.3">
      <c r="A96" s="40">
        <v>1</v>
      </c>
      <c r="B96" s="175" t="s">
        <v>393</v>
      </c>
      <c r="C96" s="175" t="s">
        <v>394</v>
      </c>
      <c r="D96" s="175">
        <v>0</v>
      </c>
      <c r="E96" s="37" t="s">
        <v>151</v>
      </c>
    </row>
    <row r="97" spans="1:11" ht="14.25" customHeight="1" x14ac:dyDescent="0.3">
      <c r="A97" s="40">
        <v>2</v>
      </c>
      <c r="B97" s="175" t="s">
        <v>393</v>
      </c>
      <c r="C97" s="175" t="s">
        <v>154</v>
      </c>
      <c r="D97" s="175">
        <v>0</v>
      </c>
      <c r="E97" s="37" t="s">
        <v>151</v>
      </c>
    </row>
    <row r="98" spans="1:11" ht="14.25" customHeight="1" x14ac:dyDescent="0.3">
      <c r="A98" s="40">
        <v>3</v>
      </c>
      <c r="B98" s="175" t="s">
        <v>393</v>
      </c>
      <c r="C98" s="175" t="s">
        <v>398</v>
      </c>
      <c r="D98" s="175">
        <v>0</v>
      </c>
      <c r="E98" s="37" t="s">
        <v>151</v>
      </c>
    </row>
    <row r="99" spans="1:11" ht="14.25" customHeight="1" x14ac:dyDescent="0.3">
      <c r="A99" s="40">
        <v>4</v>
      </c>
      <c r="B99" s="175" t="s">
        <v>393</v>
      </c>
      <c r="C99" s="175" t="s">
        <v>402</v>
      </c>
      <c r="D99" s="175">
        <v>0</v>
      </c>
      <c r="E99" s="37" t="s">
        <v>151</v>
      </c>
    </row>
    <row r="100" spans="1:11" ht="14.25" customHeight="1" x14ac:dyDescent="0.3">
      <c r="A100" s="40">
        <v>5</v>
      </c>
      <c r="B100" s="175" t="s">
        <v>393</v>
      </c>
      <c r="C100" s="175" t="s">
        <v>343</v>
      </c>
      <c r="D100" s="175">
        <v>0</v>
      </c>
      <c r="E100" s="37" t="s">
        <v>151</v>
      </c>
    </row>
    <row r="101" spans="1:11" ht="14.25" customHeight="1" x14ac:dyDescent="0.3">
      <c r="A101" s="40">
        <v>6</v>
      </c>
      <c r="B101" s="175" t="s">
        <v>393</v>
      </c>
      <c r="C101" s="175" t="s">
        <v>160</v>
      </c>
      <c r="D101" s="175">
        <v>0</v>
      </c>
      <c r="E101" s="37" t="s">
        <v>151</v>
      </c>
    </row>
    <row r="102" spans="1:11" ht="14.25" customHeight="1" x14ac:dyDescent="0.3">
      <c r="A102" s="40">
        <v>7</v>
      </c>
      <c r="B102" s="175" t="s">
        <v>393</v>
      </c>
      <c r="C102" s="175" t="s">
        <v>407</v>
      </c>
      <c r="D102" s="175">
        <v>0</v>
      </c>
      <c r="E102" s="37" t="s">
        <v>151</v>
      </c>
    </row>
    <row r="103" spans="1:11" ht="14.25" customHeight="1" x14ac:dyDescent="0.3">
      <c r="A103" s="40">
        <v>8</v>
      </c>
      <c r="B103" s="175" t="s">
        <v>393</v>
      </c>
      <c r="C103" s="175" t="s">
        <v>408</v>
      </c>
      <c r="D103" s="175">
        <v>0</v>
      </c>
      <c r="E103" s="37" t="s">
        <v>151</v>
      </c>
    </row>
    <row r="104" spans="1:11" ht="14.25" customHeight="1" x14ac:dyDescent="0.3">
      <c r="A104" s="40">
        <v>9</v>
      </c>
      <c r="B104" s="175" t="s">
        <v>409</v>
      </c>
      <c r="C104" s="175" t="s">
        <v>394</v>
      </c>
      <c r="D104" s="175">
        <v>2500</v>
      </c>
      <c r="E104" s="37" t="s">
        <v>151</v>
      </c>
    </row>
    <row r="105" spans="1:11" ht="14.25" customHeight="1" x14ac:dyDescent="0.3">
      <c r="A105" s="40">
        <v>10</v>
      </c>
      <c r="B105" s="175" t="s">
        <v>409</v>
      </c>
      <c r="C105" s="175" t="s">
        <v>154</v>
      </c>
      <c r="D105" s="175">
        <v>2500</v>
      </c>
      <c r="E105" s="37" t="s">
        <v>151</v>
      </c>
    </row>
    <row r="106" spans="1:11" ht="14.25" customHeight="1" x14ac:dyDescent="0.3">
      <c r="A106" s="40">
        <v>11</v>
      </c>
      <c r="B106" s="175" t="s">
        <v>409</v>
      </c>
      <c r="C106" s="175" t="s">
        <v>398</v>
      </c>
      <c r="D106" s="175">
        <v>2500</v>
      </c>
      <c r="E106" s="37" t="s">
        <v>151</v>
      </c>
    </row>
    <row r="107" spans="1:11" ht="14.25" customHeight="1" x14ac:dyDescent="0.3">
      <c r="A107" s="40">
        <v>12</v>
      </c>
      <c r="B107" s="175" t="s">
        <v>409</v>
      </c>
      <c r="C107" s="175" t="s">
        <v>402</v>
      </c>
      <c r="D107" s="175">
        <v>2500</v>
      </c>
      <c r="E107" s="37" t="s">
        <v>151</v>
      </c>
    </row>
    <row r="108" spans="1:11" ht="14.25" customHeight="1" x14ac:dyDescent="0.3">
      <c r="A108" s="40">
        <v>13</v>
      </c>
      <c r="B108" s="175" t="s">
        <v>409</v>
      </c>
      <c r="C108" s="175" t="s">
        <v>343</v>
      </c>
      <c r="D108" s="175">
        <v>2500</v>
      </c>
      <c r="E108" s="37" t="s">
        <v>151</v>
      </c>
      <c r="K108" s="120" t="s">
        <v>664</v>
      </c>
    </row>
    <row r="109" spans="1:11" ht="21.75" customHeight="1" x14ac:dyDescent="0.3">
      <c r="A109" s="40">
        <v>14</v>
      </c>
      <c r="B109" s="175" t="s">
        <v>409</v>
      </c>
      <c r="C109" s="175" t="s">
        <v>160</v>
      </c>
      <c r="D109" s="175">
        <v>2500</v>
      </c>
      <c r="E109" s="37" t="s">
        <v>150</v>
      </c>
    </row>
    <row r="110" spans="1:11" ht="308.25" customHeight="1" x14ac:dyDescent="0.3">
      <c r="A110" s="40">
        <v>15</v>
      </c>
      <c r="B110" s="175" t="s">
        <v>409</v>
      </c>
      <c r="C110" s="175" t="s">
        <v>407</v>
      </c>
      <c r="D110" s="175">
        <v>2500</v>
      </c>
      <c r="E110" s="37" t="s">
        <v>150</v>
      </c>
      <c r="K110" s="120" t="s">
        <v>665</v>
      </c>
    </row>
    <row r="111" spans="1:11" ht="14.25" customHeight="1" x14ac:dyDescent="0.3">
      <c r="A111" s="40">
        <v>16</v>
      </c>
      <c r="B111" s="175" t="s">
        <v>409</v>
      </c>
      <c r="C111" s="175" t="s">
        <v>408</v>
      </c>
      <c r="D111" s="175">
        <v>2500</v>
      </c>
      <c r="E111" s="37" t="s">
        <v>150</v>
      </c>
    </row>
    <row r="112" spans="1:11" ht="14.25" customHeight="1" x14ac:dyDescent="0.3">
      <c r="A112" s="40">
        <v>10</v>
      </c>
      <c r="B112" s="175" t="s">
        <v>409</v>
      </c>
      <c r="C112" s="175" t="s">
        <v>394</v>
      </c>
      <c r="D112" s="175">
        <v>3500</v>
      </c>
      <c r="E112" s="37" t="s">
        <v>151</v>
      </c>
      <c r="K112" s="120" t="s">
        <v>666</v>
      </c>
    </row>
    <row r="113" spans="1:11" ht="14.25" customHeight="1" x14ac:dyDescent="0.3">
      <c r="A113" s="40">
        <v>10</v>
      </c>
      <c r="B113" s="175" t="s">
        <v>409</v>
      </c>
      <c r="C113" s="175" t="s">
        <v>154</v>
      </c>
      <c r="D113" s="175">
        <v>3500</v>
      </c>
      <c r="E113" s="37" t="s">
        <v>151</v>
      </c>
    </row>
    <row r="114" spans="1:11" ht="14.25" customHeight="1" x14ac:dyDescent="0.3">
      <c r="A114" s="40">
        <v>11</v>
      </c>
      <c r="B114" s="175" t="s">
        <v>409</v>
      </c>
      <c r="C114" s="175" t="s">
        <v>398</v>
      </c>
      <c r="D114" s="175">
        <v>3500</v>
      </c>
      <c r="E114" s="37" t="s">
        <v>150</v>
      </c>
      <c r="K114" s="120" t="s">
        <v>666</v>
      </c>
    </row>
    <row r="115" spans="1:11" ht="14.25" customHeight="1" x14ac:dyDescent="0.3">
      <c r="A115" s="40">
        <v>12</v>
      </c>
      <c r="B115" s="175" t="s">
        <v>409</v>
      </c>
      <c r="C115" s="175" t="s">
        <v>402</v>
      </c>
      <c r="D115" s="175">
        <v>3500</v>
      </c>
      <c r="E115" s="37" t="s">
        <v>153</v>
      </c>
    </row>
    <row r="116" spans="1:11" ht="14.25" customHeight="1" x14ac:dyDescent="0.3">
      <c r="A116" s="40">
        <v>13</v>
      </c>
      <c r="B116" s="175" t="s">
        <v>409</v>
      </c>
      <c r="C116" s="175" t="s">
        <v>343</v>
      </c>
      <c r="D116" s="175">
        <v>3500</v>
      </c>
      <c r="E116" s="37" t="s">
        <v>150</v>
      </c>
      <c r="K116" s="120" t="s">
        <v>667</v>
      </c>
    </row>
    <row r="117" spans="1:11" ht="14.25" customHeight="1" x14ac:dyDescent="0.3">
      <c r="A117" s="40">
        <v>14</v>
      </c>
      <c r="B117" s="175" t="s">
        <v>409</v>
      </c>
      <c r="C117" s="175" t="s">
        <v>160</v>
      </c>
      <c r="D117" s="175">
        <v>3500</v>
      </c>
      <c r="E117" s="37" t="s">
        <v>150</v>
      </c>
    </row>
    <row r="118" spans="1:11" ht="14.25" customHeight="1" x14ac:dyDescent="0.3">
      <c r="A118" s="40">
        <v>15</v>
      </c>
      <c r="B118" s="175" t="s">
        <v>409</v>
      </c>
      <c r="C118" s="175" t="s">
        <v>407</v>
      </c>
      <c r="D118" s="175">
        <v>3500</v>
      </c>
      <c r="E118" s="37" t="s">
        <v>150</v>
      </c>
    </row>
    <row r="119" spans="1:11" ht="14.25" customHeight="1" x14ac:dyDescent="0.3">
      <c r="A119" s="40">
        <v>16</v>
      </c>
      <c r="B119" s="175" t="s">
        <v>409</v>
      </c>
      <c r="C119" s="175" t="s">
        <v>408</v>
      </c>
      <c r="D119" s="175">
        <v>3500</v>
      </c>
      <c r="E119" s="37" t="s">
        <v>150</v>
      </c>
    </row>
    <row r="120" spans="1:11" ht="14.25" customHeight="1" x14ac:dyDescent="0.3">
      <c r="A120" s="40">
        <v>17</v>
      </c>
      <c r="B120" s="175" t="s">
        <v>138</v>
      </c>
      <c r="C120" s="175" t="s">
        <v>394</v>
      </c>
      <c r="D120" s="175">
        <v>2500</v>
      </c>
      <c r="E120" s="37" t="s">
        <v>151</v>
      </c>
    </row>
    <row r="121" spans="1:11" ht="14.25" customHeight="1" x14ac:dyDescent="0.3">
      <c r="A121" s="40">
        <v>18</v>
      </c>
      <c r="B121" s="175" t="s">
        <v>138</v>
      </c>
      <c r="C121" s="175" t="s">
        <v>154</v>
      </c>
      <c r="D121" s="175">
        <v>2500</v>
      </c>
      <c r="E121" s="37" t="s">
        <v>151</v>
      </c>
    </row>
    <row r="122" spans="1:11" ht="14.25" customHeight="1" x14ac:dyDescent="0.3">
      <c r="A122" s="40">
        <v>19</v>
      </c>
      <c r="B122" s="175" t="s">
        <v>138</v>
      </c>
      <c r="C122" s="175" t="s">
        <v>398</v>
      </c>
      <c r="D122" s="175">
        <v>2500</v>
      </c>
      <c r="E122" s="37" t="s">
        <v>151</v>
      </c>
    </row>
    <row r="123" spans="1:11" ht="14.25" customHeight="1" x14ac:dyDescent="0.3">
      <c r="A123" s="40">
        <v>20</v>
      </c>
      <c r="B123" s="175" t="s">
        <v>138</v>
      </c>
      <c r="C123" s="175" t="s">
        <v>402</v>
      </c>
      <c r="D123" s="175">
        <v>2500</v>
      </c>
      <c r="E123" s="37" t="s">
        <v>151</v>
      </c>
    </row>
    <row r="124" spans="1:11" ht="14.25" customHeight="1" x14ac:dyDescent="0.3">
      <c r="A124" s="40">
        <v>21</v>
      </c>
      <c r="B124" s="175" t="s">
        <v>138</v>
      </c>
      <c r="C124" s="175" t="s">
        <v>343</v>
      </c>
      <c r="D124" s="175">
        <v>2500</v>
      </c>
      <c r="E124" s="37" t="s">
        <v>151</v>
      </c>
    </row>
    <row r="125" spans="1:11" ht="14.25" customHeight="1" x14ac:dyDescent="0.3">
      <c r="A125" s="40">
        <v>22</v>
      </c>
      <c r="B125" s="175" t="s">
        <v>138</v>
      </c>
      <c r="C125" s="175" t="s">
        <v>160</v>
      </c>
      <c r="D125" s="175">
        <v>2500</v>
      </c>
      <c r="E125" s="37" t="s">
        <v>150</v>
      </c>
    </row>
    <row r="126" spans="1:11" ht="14.25" customHeight="1" x14ac:dyDescent="0.3">
      <c r="A126" s="40">
        <v>23</v>
      </c>
      <c r="B126" s="175" t="s">
        <v>138</v>
      </c>
      <c r="C126" s="175" t="s">
        <v>407</v>
      </c>
      <c r="D126" s="175">
        <v>2500</v>
      </c>
      <c r="E126" s="37" t="s">
        <v>150</v>
      </c>
    </row>
    <row r="127" spans="1:11" ht="14.25" customHeight="1" x14ac:dyDescent="0.3">
      <c r="A127" s="40">
        <v>24</v>
      </c>
      <c r="B127" s="175" t="s">
        <v>138</v>
      </c>
      <c r="C127" s="175" t="s">
        <v>408</v>
      </c>
      <c r="D127" s="175">
        <v>2500</v>
      </c>
      <c r="E127" s="37" t="s">
        <v>150</v>
      </c>
    </row>
    <row r="128" spans="1:11" ht="14.25" customHeight="1" x14ac:dyDescent="0.3">
      <c r="A128" s="40">
        <v>17</v>
      </c>
      <c r="B128" s="175" t="s">
        <v>138</v>
      </c>
      <c r="C128" s="175" t="s">
        <v>394</v>
      </c>
      <c r="D128" s="175">
        <v>3500</v>
      </c>
      <c r="E128" s="37" t="s">
        <v>151</v>
      </c>
    </row>
    <row r="129" spans="1:11" ht="14.25" customHeight="1" x14ac:dyDescent="0.3">
      <c r="A129" s="40">
        <v>18</v>
      </c>
      <c r="B129" s="175" t="s">
        <v>138</v>
      </c>
      <c r="C129" s="175" t="s">
        <v>154</v>
      </c>
      <c r="D129" s="175">
        <v>3500</v>
      </c>
      <c r="E129" s="37" t="s">
        <v>151</v>
      </c>
    </row>
    <row r="130" spans="1:11" ht="14.25" customHeight="1" x14ac:dyDescent="0.3">
      <c r="A130" s="40">
        <v>19</v>
      </c>
      <c r="B130" s="175" t="s">
        <v>138</v>
      </c>
      <c r="C130" s="175" t="s">
        <v>398</v>
      </c>
      <c r="D130" s="175">
        <v>3500</v>
      </c>
      <c r="E130" s="37" t="s">
        <v>150</v>
      </c>
    </row>
    <row r="131" spans="1:11" ht="14.25" customHeight="1" x14ac:dyDescent="0.3">
      <c r="A131" s="40">
        <v>20</v>
      </c>
      <c r="B131" s="175" t="s">
        <v>138</v>
      </c>
      <c r="C131" s="175" t="s">
        <v>402</v>
      </c>
      <c r="D131" s="175">
        <v>3500</v>
      </c>
      <c r="E131" s="37" t="s">
        <v>153</v>
      </c>
    </row>
    <row r="132" spans="1:11" ht="14.25" customHeight="1" x14ac:dyDescent="0.3">
      <c r="A132" s="40">
        <v>21</v>
      </c>
      <c r="B132" s="175" t="s">
        <v>138</v>
      </c>
      <c r="C132" s="175" t="s">
        <v>343</v>
      </c>
      <c r="D132" s="175">
        <v>3500</v>
      </c>
      <c r="E132" s="37" t="s">
        <v>150</v>
      </c>
    </row>
    <row r="133" spans="1:11" ht="14.25" customHeight="1" x14ac:dyDescent="0.3">
      <c r="A133" s="40">
        <v>22</v>
      </c>
      <c r="B133" s="175" t="s">
        <v>138</v>
      </c>
      <c r="C133" s="175" t="s">
        <v>160</v>
      </c>
      <c r="D133" s="175">
        <v>3500</v>
      </c>
      <c r="E133" s="37" t="s">
        <v>150</v>
      </c>
    </row>
    <row r="134" spans="1:11" ht="14.25" customHeight="1" x14ac:dyDescent="0.3">
      <c r="A134" s="40">
        <v>23</v>
      </c>
      <c r="B134" s="175" t="s">
        <v>138</v>
      </c>
      <c r="C134" s="175" t="s">
        <v>407</v>
      </c>
      <c r="D134" s="175">
        <v>3500</v>
      </c>
      <c r="E134" s="37" t="s">
        <v>150</v>
      </c>
    </row>
    <row r="135" spans="1:11" ht="14.25" customHeight="1" x14ac:dyDescent="0.3">
      <c r="A135" s="40">
        <v>24</v>
      </c>
      <c r="B135" s="175" t="s">
        <v>138</v>
      </c>
      <c r="C135" s="175" t="s">
        <v>408</v>
      </c>
      <c r="D135" s="175">
        <v>3500</v>
      </c>
      <c r="E135" s="37" t="s">
        <v>150</v>
      </c>
    </row>
    <row r="136" spans="1:11" ht="14.25" customHeight="1" x14ac:dyDescent="0.3">
      <c r="A136" s="40">
        <v>17</v>
      </c>
      <c r="B136" s="175" t="s">
        <v>155</v>
      </c>
      <c r="C136" s="175" t="s">
        <v>394</v>
      </c>
      <c r="D136" s="175">
        <v>2500</v>
      </c>
      <c r="E136" s="37" t="s">
        <v>151</v>
      </c>
    </row>
    <row r="137" spans="1:11" ht="14.25" customHeight="1" x14ac:dyDescent="0.3">
      <c r="A137" s="40">
        <v>18</v>
      </c>
      <c r="B137" s="175" t="s">
        <v>155</v>
      </c>
      <c r="C137" s="175" t="s">
        <v>154</v>
      </c>
      <c r="D137" s="175">
        <v>2500</v>
      </c>
      <c r="E137" s="37" t="s">
        <v>151</v>
      </c>
    </row>
    <row r="138" spans="1:11" ht="14.25" customHeight="1" x14ac:dyDescent="0.3">
      <c r="A138" s="40">
        <v>19</v>
      </c>
      <c r="B138" s="175" t="s">
        <v>155</v>
      </c>
      <c r="C138" s="175" t="s">
        <v>398</v>
      </c>
      <c r="D138" s="175">
        <v>2500</v>
      </c>
      <c r="E138" s="37" t="s">
        <v>151</v>
      </c>
    </row>
    <row r="139" spans="1:11" ht="14.25" customHeight="1" x14ac:dyDescent="0.3">
      <c r="A139" s="40">
        <v>20</v>
      </c>
      <c r="B139" s="175" t="s">
        <v>155</v>
      </c>
      <c r="C139" s="175" t="s">
        <v>402</v>
      </c>
      <c r="D139" s="175">
        <v>2500</v>
      </c>
      <c r="E139" s="37" t="s">
        <v>151</v>
      </c>
      <c r="K139" s="209"/>
    </row>
    <row r="140" spans="1:11" ht="14.25" customHeight="1" x14ac:dyDescent="0.3">
      <c r="A140" s="40">
        <v>21</v>
      </c>
      <c r="B140" s="175" t="s">
        <v>155</v>
      </c>
      <c r="C140" s="175" t="s">
        <v>343</v>
      </c>
      <c r="D140" s="175">
        <v>2500</v>
      </c>
      <c r="E140" s="37" t="s">
        <v>151</v>
      </c>
      <c r="K140" s="209"/>
    </row>
    <row r="141" spans="1:11" ht="14.25" customHeight="1" x14ac:dyDescent="0.3">
      <c r="A141" s="40">
        <v>22</v>
      </c>
      <c r="B141" s="175" t="s">
        <v>155</v>
      </c>
      <c r="C141" s="175" t="s">
        <v>160</v>
      </c>
      <c r="D141" s="175">
        <v>2500</v>
      </c>
      <c r="E141" s="37" t="s">
        <v>150</v>
      </c>
    </row>
    <row r="142" spans="1:11" ht="14.25" customHeight="1" x14ac:dyDescent="0.3">
      <c r="A142" s="40">
        <v>23</v>
      </c>
      <c r="B142" s="175" t="s">
        <v>155</v>
      </c>
      <c r="C142" s="175" t="s">
        <v>407</v>
      </c>
      <c r="D142" s="175">
        <v>2500</v>
      </c>
      <c r="E142" s="37" t="s">
        <v>150</v>
      </c>
    </row>
    <row r="143" spans="1:11" ht="14.25" customHeight="1" x14ac:dyDescent="0.3">
      <c r="A143" s="40">
        <v>24</v>
      </c>
      <c r="B143" s="175" t="s">
        <v>155</v>
      </c>
      <c r="C143" s="175" t="s">
        <v>408</v>
      </c>
      <c r="D143" s="175">
        <v>2500</v>
      </c>
      <c r="E143" s="37" t="s">
        <v>150</v>
      </c>
    </row>
    <row r="144" spans="1:11" ht="14.25" customHeight="1" x14ac:dyDescent="0.3">
      <c r="A144" s="40">
        <v>25</v>
      </c>
      <c r="B144" s="175" t="s">
        <v>155</v>
      </c>
      <c r="C144" s="175" t="s">
        <v>394</v>
      </c>
      <c r="D144" s="175">
        <v>3500</v>
      </c>
      <c r="E144" s="37" t="s">
        <v>151</v>
      </c>
    </row>
    <row r="145" spans="1:5" ht="14.25" customHeight="1" x14ac:dyDescent="0.3">
      <c r="A145" s="40">
        <v>26</v>
      </c>
      <c r="B145" s="175" t="s">
        <v>155</v>
      </c>
      <c r="C145" s="175" t="s">
        <v>154</v>
      </c>
      <c r="D145" s="175">
        <v>3500</v>
      </c>
      <c r="E145" s="37" t="s">
        <v>151</v>
      </c>
    </row>
    <row r="146" spans="1:5" ht="14.25" customHeight="1" x14ac:dyDescent="0.3">
      <c r="A146" s="40">
        <v>27</v>
      </c>
      <c r="B146" s="175" t="s">
        <v>155</v>
      </c>
      <c r="C146" s="175" t="s">
        <v>398</v>
      </c>
      <c r="D146" s="175">
        <v>3500</v>
      </c>
      <c r="E146" s="37" t="s">
        <v>150</v>
      </c>
    </row>
    <row r="147" spans="1:5" ht="14.25" customHeight="1" x14ac:dyDescent="0.3">
      <c r="A147" s="40">
        <v>28</v>
      </c>
      <c r="B147" s="175" t="s">
        <v>155</v>
      </c>
      <c r="C147" s="175" t="s">
        <v>402</v>
      </c>
      <c r="D147" s="175">
        <v>3500</v>
      </c>
      <c r="E147" s="37" t="s">
        <v>150</v>
      </c>
    </row>
    <row r="148" spans="1:5" ht="14.25" customHeight="1" x14ac:dyDescent="0.3">
      <c r="A148" s="40">
        <v>29</v>
      </c>
      <c r="B148" s="175" t="s">
        <v>155</v>
      </c>
      <c r="C148" s="175" t="s">
        <v>343</v>
      </c>
      <c r="D148" s="175">
        <v>3500</v>
      </c>
      <c r="E148" s="37" t="s">
        <v>150</v>
      </c>
    </row>
    <row r="149" spans="1:5" ht="14.25" customHeight="1" x14ac:dyDescent="0.3">
      <c r="A149" s="40">
        <v>30</v>
      </c>
      <c r="B149" s="175" t="s">
        <v>155</v>
      </c>
      <c r="C149" s="175" t="s">
        <v>160</v>
      </c>
      <c r="D149" s="175">
        <v>3500</v>
      </c>
      <c r="E149" s="37" t="s">
        <v>150</v>
      </c>
    </row>
    <row r="150" spans="1:5" ht="14.25" customHeight="1" x14ac:dyDescent="0.3">
      <c r="A150" s="40">
        <v>31</v>
      </c>
      <c r="B150" s="175" t="s">
        <v>155</v>
      </c>
      <c r="C150" s="175" t="s">
        <v>407</v>
      </c>
      <c r="D150" s="175">
        <v>3500</v>
      </c>
      <c r="E150" s="37" t="s">
        <v>150</v>
      </c>
    </row>
    <row r="151" spans="1:5" ht="14.25" customHeight="1" x14ac:dyDescent="0.3">
      <c r="A151" s="40">
        <v>32</v>
      </c>
      <c r="B151" s="175" t="s">
        <v>155</v>
      </c>
      <c r="C151" s="175" t="s">
        <v>408</v>
      </c>
      <c r="D151" s="175">
        <v>3500</v>
      </c>
      <c r="E151" s="37" t="s">
        <v>150</v>
      </c>
    </row>
    <row r="152" spans="1:5" ht="14.25" customHeight="1" x14ac:dyDescent="0.3">
      <c r="A152" s="40">
        <v>33</v>
      </c>
      <c r="B152" s="175" t="s">
        <v>421</v>
      </c>
      <c r="C152" s="175" t="s">
        <v>394</v>
      </c>
      <c r="D152" s="175">
        <v>10000</v>
      </c>
      <c r="E152" s="37" t="s">
        <v>151</v>
      </c>
    </row>
    <row r="153" spans="1:5" ht="14.25" customHeight="1" x14ac:dyDescent="0.3">
      <c r="A153" s="40">
        <v>34</v>
      </c>
      <c r="B153" s="175" t="s">
        <v>421</v>
      </c>
      <c r="C153" s="175" t="s">
        <v>154</v>
      </c>
      <c r="D153" s="175">
        <v>10000</v>
      </c>
      <c r="E153" s="37" t="s">
        <v>151</v>
      </c>
    </row>
    <row r="154" spans="1:5" ht="14.25" customHeight="1" x14ac:dyDescent="0.3">
      <c r="A154" s="40">
        <v>35</v>
      </c>
      <c r="B154" s="175" t="s">
        <v>421</v>
      </c>
      <c r="C154" s="175" t="s">
        <v>398</v>
      </c>
      <c r="D154" s="175">
        <v>10000</v>
      </c>
      <c r="E154" s="37" t="s">
        <v>150</v>
      </c>
    </row>
    <row r="155" spans="1:5" ht="14.25" customHeight="1" x14ac:dyDescent="0.3">
      <c r="A155" s="40">
        <v>36</v>
      </c>
      <c r="B155" s="175" t="s">
        <v>421</v>
      </c>
      <c r="C155" s="175" t="s">
        <v>402</v>
      </c>
      <c r="D155" s="175">
        <v>10000</v>
      </c>
      <c r="E155" s="37" t="s">
        <v>150</v>
      </c>
    </row>
    <row r="156" spans="1:5" ht="14.25" customHeight="1" x14ac:dyDescent="0.3">
      <c r="A156" s="40">
        <v>37</v>
      </c>
      <c r="B156" s="175" t="s">
        <v>421</v>
      </c>
      <c r="C156" s="175" t="s">
        <v>343</v>
      </c>
      <c r="D156" s="175">
        <v>10000</v>
      </c>
      <c r="E156" s="37" t="s">
        <v>150</v>
      </c>
    </row>
    <row r="157" spans="1:5" ht="14.25" customHeight="1" x14ac:dyDescent="0.3">
      <c r="A157" s="40">
        <v>38</v>
      </c>
      <c r="B157" s="175" t="s">
        <v>421</v>
      </c>
      <c r="C157" s="175" t="s">
        <v>160</v>
      </c>
      <c r="D157" s="175">
        <v>10000</v>
      </c>
      <c r="E157" s="37" t="s">
        <v>150</v>
      </c>
    </row>
    <row r="158" spans="1:5" ht="14.25" customHeight="1" x14ac:dyDescent="0.3">
      <c r="A158" s="40">
        <v>39</v>
      </c>
      <c r="B158" s="175" t="s">
        <v>421</v>
      </c>
      <c r="C158" s="175" t="s">
        <v>407</v>
      </c>
      <c r="D158" s="175">
        <v>10000</v>
      </c>
      <c r="E158" s="37" t="s">
        <v>150</v>
      </c>
    </row>
    <row r="159" spans="1:5" ht="14.25" customHeight="1" x14ac:dyDescent="0.3">
      <c r="A159" s="40">
        <v>40</v>
      </c>
      <c r="B159" s="175" t="s">
        <v>421</v>
      </c>
      <c r="C159" s="175" t="s">
        <v>408</v>
      </c>
      <c r="D159" s="175">
        <v>10000</v>
      </c>
      <c r="E159" s="37" t="s">
        <v>150</v>
      </c>
    </row>
    <row r="160" spans="1:5" ht="14.25" customHeight="1" x14ac:dyDescent="0.3"/>
    <row r="161" spans="1:5" ht="14.25" customHeight="1" x14ac:dyDescent="0.3"/>
    <row r="162" spans="1:5" ht="14.25" customHeight="1" x14ac:dyDescent="0.3">
      <c r="A162" s="25" t="s">
        <v>668</v>
      </c>
    </row>
    <row r="163" spans="1:5" ht="14.25" customHeight="1" x14ac:dyDescent="0.3">
      <c r="A163" s="167" t="s">
        <v>385</v>
      </c>
      <c r="B163" s="168" t="s">
        <v>386</v>
      </c>
      <c r="C163" s="168" t="s">
        <v>387</v>
      </c>
      <c r="D163" s="272" t="s">
        <v>669</v>
      </c>
      <c r="E163" s="273" t="s">
        <v>670</v>
      </c>
    </row>
    <row r="164" spans="1:5" ht="14.25" customHeight="1" x14ac:dyDescent="0.3">
      <c r="A164" s="170">
        <v>1</v>
      </c>
      <c r="B164" s="171" t="s">
        <v>393</v>
      </c>
      <c r="C164" s="171" t="s">
        <v>394</v>
      </c>
      <c r="D164" s="171">
        <v>0</v>
      </c>
      <c r="E164" s="172">
        <v>0</v>
      </c>
    </row>
    <row r="165" spans="1:5" ht="14.25" customHeight="1" x14ac:dyDescent="0.3">
      <c r="A165" s="40">
        <v>2</v>
      </c>
      <c r="B165" s="175" t="s">
        <v>393</v>
      </c>
      <c r="C165" s="175" t="s">
        <v>154</v>
      </c>
      <c r="D165" s="175">
        <v>0</v>
      </c>
      <c r="E165" s="37">
        <v>0</v>
      </c>
    </row>
    <row r="166" spans="1:5" ht="14.25" customHeight="1" x14ac:dyDescent="0.3">
      <c r="A166" s="40">
        <v>3</v>
      </c>
      <c r="B166" s="175" t="s">
        <v>393</v>
      </c>
      <c r="C166" s="175" t="s">
        <v>398</v>
      </c>
      <c r="D166" s="175">
        <v>0</v>
      </c>
      <c r="E166" s="37">
        <v>0</v>
      </c>
    </row>
    <row r="167" spans="1:5" ht="14.25" customHeight="1" x14ac:dyDescent="0.3">
      <c r="A167" s="40">
        <v>4</v>
      </c>
      <c r="B167" s="175" t="s">
        <v>393</v>
      </c>
      <c r="C167" s="175" t="s">
        <v>402</v>
      </c>
      <c r="D167" s="175">
        <v>0</v>
      </c>
      <c r="E167" s="37">
        <v>0</v>
      </c>
    </row>
    <row r="168" spans="1:5" ht="14.25" customHeight="1" x14ac:dyDescent="0.3">
      <c r="A168" s="40">
        <v>5</v>
      </c>
      <c r="B168" s="175" t="s">
        <v>393</v>
      </c>
      <c r="C168" s="175" t="s">
        <v>343</v>
      </c>
      <c r="D168" s="175">
        <v>0</v>
      </c>
      <c r="E168" s="37">
        <v>0</v>
      </c>
    </row>
    <row r="169" spans="1:5" ht="14.25" customHeight="1" x14ac:dyDescent="0.3">
      <c r="A169" s="40">
        <v>6</v>
      </c>
      <c r="B169" s="175" t="s">
        <v>393</v>
      </c>
      <c r="C169" s="175" t="s">
        <v>160</v>
      </c>
      <c r="D169" s="175">
        <v>0</v>
      </c>
      <c r="E169" s="37">
        <v>0</v>
      </c>
    </row>
    <row r="170" spans="1:5" ht="14.25" customHeight="1" x14ac:dyDescent="0.3">
      <c r="A170" s="40">
        <v>7</v>
      </c>
      <c r="B170" s="175" t="s">
        <v>393</v>
      </c>
      <c r="C170" s="175" t="s">
        <v>407</v>
      </c>
      <c r="D170" s="175">
        <v>0</v>
      </c>
      <c r="E170" s="37">
        <v>0</v>
      </c>
    </row>
    <row r="171" spans="1:5" ht="14.25" customHeight="1" x14ac:dyDescent="0.3">
      <c r="A171" s="40">
        <v>8</v>
      </c>
      <c r="B171" s="175" t="s">
        <v>393</v>
      </c>
      <c r="C171" s="175" t="s">
        <v>408</v>
      </c>
      <c r="D171" s="175">
        <v>0</v>
      </c>
      <c r="E171" s="37">
        <v>0</v>
      </c>
    </row>
    <row r="172" spans="1:5" ht="14.25" customHeight="1" x14ac:dyDescent="0.3">
      <c r="A172" s="40">
        <v>9</v>
      </c>
      <c r="B172" s="175" t="s">
        <v>409</v>
      </c>
      <c r="C172" s="175" t="s">
        <v>394</v>
      </c>
      <c r="D172" s="175">
        <v>0</v>
      </c>
      <c r="E172" s="37">
        <v>0</v>
      </c>
    </row>
    <row r="173" spans="1:5" ht="14.25" customHeight="1" x14ac:dyDescent="0.3">
      <c r="A173" s="40">
        <v>10</v>
      </c>
      <c r="B173" s="175" t="s">
        <v>409</v>
      </c>
      <c r="C173" s="175" t="s">
        <v>154</v>
      </c>
      <c r="D173" s="175">
        <v>0</v>
      </c>
      <c r="E173" s="37">
        <v>0</v>
      </c>
    </row>
    <row r="174" spans="1:5" ht="14.25" customHeight="1" x14ac:dyDescent="0.3">
      <c r="A174" s="40">
        <v>11</v>
      </c>
      <c r="B174" s="175" t="s">
        <v>409</v>
      </c>
      <c r="C174" s="175" t="s">
        <v>398</v>
      </c>
      <c r="D174" s="175">
        <v>1500</v>
      </c>
      <c r="E174" s="37">
        <v>60</v>
      </c>
    </row>
    <row r="175" spans="1:5" ht="14.25" customHeight="1" x14ac:dyDescent="0.3">
      <c r="A175" s="40">
        <v>12</v>
      </c>
      <c r="B175" s="175" t="s">
        <v>409</v>
      </c>
      <c r="C175" s="175" t="s">
        <v>402</v>
      </c>
      <c r="D175" s="175">
        <v>1500</v>
      </c>
      <c r="E175" s="37">
        <v>60</v>
      </c>
    </row>
    <row r="176" spans="1:5" ht="14.25" customHeight="1" x14ac:dyDescent="0.3">
      <c r="A176" s="40">
        <v>13</v>
      </c>
      <c r="B176" s="175" t="s">
        <v>409</v>
      </c>
      <c r="C176" s="175" t="s">
        <v>343</v>
      </c>
      <c r="D176" s="175">
        <v>1500</v>
      </c>
      <c r="E176" s="37">
        <v>60</v>
      </c>
    </row>
    <row r="177" spans="1:5" ht="14.25" customHeight="1" x14ac:dyDescent="0.3">
      <c r="A177" s="40">
        <v>14</v>
      </c>
      <c r="B177" s="175" t="s">
        <v>409</v>
      </c>
      <c r="C177" s="175" t="s">
        <v>160</v>
      </c>
      <c r="D177" s="175">
        <v>2000</v>
      </c>
      <c r="E177" s="37">
        <v>90</v>
      </c>
    </row>
    <row r="178" spans="1:5" ht="14.25" customHeight="1" x14ac:dyDescent="0.3">
      <c r="A178" s="40">
        <v>15</v>
      </c>
      <c r="B178" s="175" t="s">
        <v>409</v>
      </c>
      <c r="C178" s="175" t="s">
        <v>407</v>
      </c>
      <c r="D178" s="175">
        <v>2000</v>
      </c>
      <c r="E178" s="37">
        <v>90</v>
      </c>
    </row>
    <row r="179" spans="1:5" ht="14.25" customHeight="1" x14ac:dyDescent="0.3">
      <c r="A179" s="40">
        <v>16</v>
      </c>
      <c r="B179" s="175" t="s">
        <v>409</v>
      </c>
      <c r="C179" s="175" t="s">
        <v>408</v>
      </c>
      <c r="D179" s="175">
        <v>2000</v>
      </c>
      <c r="E179" s="37">
        <v>90</v>
      </c>
    </row>
    <row r="180" spans="1:5" ht="14.25" customHeight="1" x14ac:dyDescent="0.3">
      <c r="A180" s="40">
        <v>17</v>
      </c>
      <c r="B180" s="175" t="s">
        <v>138</v>
      </c>
      <c r="C180" s="175" t="s">
        <v>394</v>
      </c>
      <c r="D180" s="175">
        <v>0</v>
      </c>
      <c r="E180" s="37">
        <v>0</v>
      </c>
    </row>
    <row r="181" spans="1:5" ht="14.25" customHeight="1" x14ac:dyDescent="0.3">
      <c r="A181" s="40">
        <v>18</v>
      </c>
      <c r="B181" s="175" t="s">
        <v>138</v>
      </c>
      <c r="C181" s="175" t="s">
        <v>154</v>
      </c>
      <c r="D181" s="175">
        <v>0</v>
      </c>
      <c r="E181" s="37">
        <v>0</v>
      </c>
    </row>
    <row r="182" spans="1:5" ht="14.25" customHeight="1" x14ac:dyDescent="0.3">
      <c r="A182" s="40">
        <v>19</v>
      </c>
      <c r="B182" s="175" t="s">
        <v>138</v>
      </c>
      <c r="C182" s="175" t="s">
        <v>398</v>
      </c>
      <c r="D182" s="175">
        <v>1500</v>
      </c>
      <c r="E182" s="37">
        <v>60</v>
      </c>
    </row>
    <row r="183" spans="1:5" ht="14.25" customHeight="1" x14ac:dyDescent="0.3">
      <c r="A183" s="40">
        <v>20</v>
      </c>
      <c r="B183" s="175" t="s">
        <v>138</v>
      </c>
      <c r="C183" s="175" t="s">
        <v>402</v>
      </c>
      <c r="D183" s="175">
        <v>1500</v>
      </c>
      <c r="E183" s="37">
        <v>60</v>
      </c>
    </row>
    <row r="184" spans="1:5" ht="14.25" customHeight="1" x14ac:dyDescent="0.3">
      <c r="A184" s="40">
        <v>21</v>
      </c>
      <c r="B184" s="175" t="s">
        <v>138</v>
      </c>
      <c r="C184" s="175" t="s">
        <v>343</v>
      </c>
      <c r="D184" s="175">
        <v>1500</v>
      </c>
      <c r="E184" s="37">
        <v>60</v>
      </c>
    </row>
    <row r="185" spans="1:5" ht="14.25" customHeight="1" x14ac:dyDescent="0.3">
      <c r="A185" s="40">
        <v>22</v>
      </c>
      <c r="B185" s="175" t="s">
        <v>138</v>
      </c>
      <c r="C185" s="175" t="s">
        <v>160</v>
      </c>
      <c r="D185" s="175">
        <v>2000</v>
      </c>
      <c r="E185" s="37">
        <v>90</v>
      </c>
    </row>
    <row r="186" spans="1:5" ht="14.25" customHeight="1" x14ac:dyDescent="0.3">
      <c r="A186" s="40">
        <v>23</v>
      </c>
      <c r="B186" s="175" t="s">
        <v>138</v>
      </c>
      <c r="C186" s="175" t="s">
        <v>407</v>
      </c>
      <c r="D186" s="175">
        <v>2000</v>
      </c>
      <c r="E186" s="37">
        <v>90</v>
      </c>
    </row>
    <row r="187" spans="1:5" ht="14.25" customHeight="1" x14ac:dyDescent="0.3">
      <c r="A187" s="40">
        <v>24</v>
      </c>
      <c r="B187" s="175" t="s">
        <v>138</v>
      </c>
      <c r="C187" s="175" t="s">
        <v>408</v>
      </c>
      <c r="D187" s="175">
        <v>2000</v>
      </c>
      <c r="E187" s="37">
        <v>90</v>
      </c>
    </row>
    <row r="188" spans="1:5" ht="14.25" customHeight="1" x14ac:dyDescent="0.3">
      <c r="A188" s="40">
        <v>17</v>
      </c>
      <c r="B188" s="175" t="s">
        <v>155</v>
      </c>
      <c r="C188" s="175" t="s">
        <v>394</v>
      </c>
      <c r="D188" s="175">
        <v>0</v>
      </c>
      <c r="E188" s="37">
        <v>0</v>
      </c>
    </row>
    <row r="189" spans="1:5" ht="14.25" customHeight="1" x14ac:dyDescent="0.3">
      <c r="A189" s="40">
        <v>18</v>
      </c>
      <c r="B189" s="175" t="s">
        <v>155</v>
      </c>
      <c r="C189" s="175" t="s">
        <v>154</v>
      </c>
      <c r="D189" s="175">
        <v>0</v>
      </c>
      <c r="E189" s="37">
        <v>0</v>
      </c>
    </row>
    <row r="190" spans="1:5" ht="14.25" customHeight="1" x14ac:dyDescent="0.3">
      <c r="A190" s="40">
        <v>19</v>
      </c>
      <c r="B190" s="175" t="s">
        <v>155</v>
      </c>
      <c r="C190" s="175" t="s">
        <v>398</v>
      </c>
      <c r="D190" s="175">
        <v>1500</v>
      </c>
      <c r="E190" s="37">
        <v>60</v>
      </c>
    </row>
    <row r="191" spans="1:5" ht="14.25" customHeight="1" x14ac:dyDescent="0.3">
      <c r="A191" s="40">
        <v>20</v>
      </c>
      <c r="B191" s="175" t="s">
        <v>155</v>
      </c>
      <c r="C191" s="175" t="s">
        <v>402</v>
      </c>
      <c r="D191" s="175">
        <v>1500</v>
      </c>
      <c r="E191" s="37">
        <v>60</v>
      </c>
    </row>
    <row r="192" spans="1:5" ht="14.25" customHeight="1" x14ac:dyDescent="0.3">
      <c r="A192" s="40">
        <v>21</v>
      </c>
      <c r="B192" s="175" t="s">
        <v>155</v>
      </c>
      <c r="C192" s="175" t="s">
        <v>343</v>
      </c>
      <c r="D192" s="175">
        <v>1500</v>
      </c>
      <c r="E192" s="37">
        <v>60</v>
      </c>
    </row>
    <row r="193" spans="1:5" ht="14.25" customHeight="1" x14ac:dyDescent="0.3">
      <c r="A193" s="40">
        <v>22</v>
      </c>
      <c r="B193" s="175" t="s">
        <v>155</v>
      </c>
      <c r="C193" s="175" t="s">
        <v>160</v>
      </c>
      <c r="D193" s="175">
        <v>2000</v>
      </c>
      <c r="E193" s="37">
        <v>90</v>
      </c>
    </row>
    <row r="194" spans="1:5" ht="14.25" customHeight="1" x14ac:dyDescent="0.3">
      <c r="A194" s="40">
        <v>23</v>
      </c>
      <c r="B194" s="175" t="s">
        <v>155</v>
      </c>
      <c r="C194" s="175" t="s">
        <v>407</v>
      </c>
      <c r="D194" s="175">
        <v>2000</v>
      </c>
      <c r="E194" s="37">
        <v>90</v>
      </c>
    </row>
    <row r="195" spans="1:5" ht="14.25" customHeight="1" x14ac:dyDescent="0.3">
      <c r="A195" s="40">
        <v>24</v>
      </c>
      <c r="B195" s="175" t="s">
        <v>155</v>
      </c>
      <c r="C195" s="175" t="s">
        <v>408</v>
      </c>
      <c r="D195" s="175">
        <v>2000</v>
      </c>
      <c r="E195" s="37">
        <v>90</v>
      </c>
    </row>
    <row r="196" spans="1:5" ht="14.25" customHeight="1" x14ac:dyDescent="0.3">
      <c r="A196" s="40">
        <v>33</v>
      </c>
      <c r="B196" s="175" t="s">
        <v>421</v>
      </c>
      <c r="C196" s="175" t="s">
        <v>394</v>
      </c>
      <c r="D196" s="175">
        <v>0</v>
      </c>
      <c r="E196" s="37">
        <v>0</v>
      </c>
    </row>
    <row r="197" spans="1:5" ht="14.25" customHeight="1" x14ac:dyDescent="0.3">
      <c r="A197" s="40">
        <v>34</v>
      </c>
      <c r="B197" s="175" t="s">
        <v>421</v>
      </c>
      <c r="C197" s="175" t="s">
        <v>154</v>
      </c>
      <c r="D197" s="175">
        <v>0</v>
      </c>
      <c r="E197" s="37">
        <v>0</v>
      </c>
    </row>
    <row r="198" spans="1:5" ht="14.25" customHeight="1" x14ac:dyDescent="0.3">
      <c r="A198" s="40">
        <v>35</v>
      </c>
      <c r="B198" s="175" t="s">
        <v>421</v>
      </c>
      <c r="C198" s="175" t="s">
        <v>398</v>
      </c>
      <c r="D198" s="175">
        <v>2000</v>
      </c>
      <c r="E198" s="37">
        <v>60</v>
      </c>
    </row>
    <row r="199" spans="1:5" ht="14.25" customHeight="1" x14ac:dyDescent="0.3">
      <c r="A199" s="40">
        <v>36</v>
      </c>
      <c r="B199" s="175" t="s">
        <v>421</v>
      </c>
      <c r="C199" s="175" t="s">
        <v>402</v>
      </c>
      <c r="D199" s="175">
        <v>2000</v>
      </c>
      <c r="E199" s="37">
        <v>60</v>
      </c>
    </row>
    <row r="200" spans="1:5" ht="14.25" customHeight="1" x14ac:dyDescent="0.3">
      <c r="A200" s="40">
        <v>37</v>
      </c>
      <c r="B200" s="175" t="s">
        <v>421</v>
      </c>
      <c r="C200" s="175" t="s">
        <v>343</v>
      </c>
      <c r="D200" s="175">
        <v>2000</v>
      </c>
      <c r="E200" s="37">
        <v>60</v>
      </c>
    </row>
    <row r="201" spans="1:5" ht="14.25" customHeight="1" x14ac:dyDescent="0.3">
      <c r="A201" s="40">
        <v>38</v>
      </c>
      <c r="B201" s="175" t="s">
        <v>421</v>
      </c>
      <c r="C201" s="175" t="s">
        <v>160</v>
      </c>
      <c r="D201" s="175">
        <v>3000</v>
      </c>
      <c r="E201" s="37">
        <v>90</v>
      </c>
    </row>
    <row r="202" spans="1:5" ht="14.25" customHeight="1" x14ac:dyDescent="0.3">
      <c r="A202" s="40">
        <v>39</v>
      </c>
      <c r="B202" s="175" t="s">
        <v>421</v>
      </c>
      <c r="C202" s="175" t="s">
        <v>407</v>
      </c>
      <c r="D202" s="175">
        <v>3000</v>
      </c>
      <c r="E202" s="37">
        <v>90</v>
      </c>
    </row>
    <row r="203" spans="1:5" ht="14.25" customHeight="1" x14ac:dyDescent="0.3">
      <c r="A203" s="204">
        <v>40</v>
      </c>
      <c r="B203" s="186" t="s">
        <v>421</v>
      </c>
      <c r="C203" s="186" t="s">
        <v>408</v>
      </c>
      <c r="D203" s="186">
        <v>3000</v>
      </c>
      <c r="E203" s="43">
        <v>90</v>
      </c>
    </row>
    <row r="204" spans="1:5" ht="14.25" customHeight="1" x14ac:dyDescent="0.3"/>
    <row r="205" spans="1:5" ht="14.25" customHeight="1" x14ac:dyDescent="0.3"/>
    <row r="206" spans="1:5" ht="14.25" customHeight="1" x14ac:dyDescent="0.3"/>
    <row r="207" spans="1:5" ht="14.25" customHeight="1" x14ac:dyDescent="0.3"/>
    <row r="208" spans="1:5"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4.25" customHeight="1" x14ac:dyDescent="0.3"/>
    <row r="284" ht="14.25" customHeight="1" x14ac:dyDescent="0.3"/>
    <row r="285" ht="14.25" customHeight="1" x14ac:dyDescent="0.3"/>
    <row r="286" ht="14.25" customHeight="1" x14ac:dyDescent="0.3"/>
    <row r="287" ht="14.25" customHeight="1" x14ac:dyDescent="0.3"/>
    <row r="288" ht="14.25" customHeight="1" x14ac:dyDescent="0.3"/>
    <row r="289" ht="14.25" customHeight="1" x14ac:dyDescent="0.3"/>
    <row r="290" ht="14.25" customHeight="1" x14ac:dyDescent="0.3"/>
    <row r="291" ht="14.25" customHeight="1" x14ac:dyDescent="0.3"/>
    <row r="292" ht="14.25" customHeight="1" x14ac:dyDescent="0.3"/>
    <row r="293" ht="14.25" customHeight="1" x14ac:dyDescent="0.3"/>
    <row r="294" ht="14.25" customHeight="1" x14ac:dyDescent="0.3"/>
    <row r="295" ht="14.25" customHeight="1" x14ac:dyDescent="0.3"/>
    <row r="296" ht="14.25" customHeight="1" x14ac:dyDescent="0.3"/>
    <row r="297" ht="14.25" customHeight="1" x14ac:dyDescent="0.3"/>
    <row r="298" ht="14.25" customHeight="1" x14ac:dyDescent="0.3"/>
    <row r="299" ht="14.25" customHeight="1" x14ac:dyDescent="0.3"/>
    <row r="300" ht="14.25" customHeight="1" x14ac:dyDescent="0.3"/>
    <row r="301" ht="14.25" customHeight="1" x14ac:dyDescent="0.3"/>
    <row r="302" ht="14.25" customHeight="1" x14ac:dyDescent="0.3"/>
    <row r="303" ht="14.25" customHeight="1" x14ac:dyDescent="0.3"/>
    <row r="304" ht="14.25" customHeight="1" x14ac:dyDescent="0.3"/>
    <row r="305" ht="14.25" customHeight="1" x14ac:dyDescent="0.3"/>
    <row r="306" ht="14.25" customHeight="1" x14ac:dyDescent="0.3"/>
    <row r="307" ht="14.25" customHeight="1" x14ac:dyDescent="0.3"/>
    <row r="308" ht="14.25" customHeight="1" x14ac:dyDescent="0.3"/>
    <row r="309" ht="14.25" customHeight="1" x14ac:dyDescent="0.3"/>
    <row r="310" ht="14.25" customHeight="1" x14ac:dyDescent="0.3"/>
    <row r="311" ht="14.25" customHeight="1" x14ac:dyDescent="0.3"/>
    <row r="312" ht="14.25" customHeight="1" x14ac:dyDescent="0.3"/>
    <row r="313" ht="14.25" customHeight="1" x14ac:dyDescent="0.3"/>
    <row r="314" ht="14.25" customHeight="1" x14ac:dyDescent="0.3"/>
    <row r="315" ht="14.25" customHeight="1" x14ac:dyDescent="0.3"/>
    <row r="316" ht="14.25" customHeight="1" x14ac:dyDescent="0.3"/>
    <row r="317" ht="14.25" customHeight="1" x14ac:dyDescent="0.3"/>
    <row r="318" ht="14.25" customHeight="1" x14ac:dyDescent="0.3"/>
    <row r="319" ht="14.25" customHeight="1" x14ac:dyDescent="0.3"/>
    <row r="320" ht="14.25" customHeight="1" x14ac:dyDescent="0.3"/>
    <row r="321" ht="14.25" customHeight="1" x14ac:dyDescent="0.3"/>
    <row r="322" ht="14.25" customHeight="1" x14ac:dyDescent="0.3"/>
    <row r="323" ht="14.25" customHeight="1" x14ac:dyDescent="0.3"/>
    <row r="324" ht="14.25" customHeight="1" x14ac:dyDescent="0.3"/>
    <row r="325" ht="14.25" customHeight="1" x14ac:dyDescent="0.3"/>
    <row r="326" ht="14.25" customHeight="1" x14ac:dyDescent="0.3"/>
    <row r="327" ht="14.25" customHeight="1" x14ac:dyDescent="0.3"/>
    <row r="328" ht="14.25" customHeight="1" x14ac:dyDescent="0.3"/>
    <row r="329" ht="14.25" customHeight="1" x14ac:dyDescent="0.3"/>
    <row r="330" ht="14.25" customHeight="1" x14ac:dyDescent="0.3"/>
    <row r="331" ht="14.25" customHeight="1" x14ac:dyDescent="0.3"/>
    <row r="332" ht="14.25" customHeight="1" x14ac:dyDescent="0.3"/>
    <row r="333" ht="14.25" customHeight="1" x14ac:dyDescent="0.3"/>
    <row r="334" ht="14.25" customHeight="1" x14ac:dyDescent="0.3"/>
    <row r="335" ht="14.25" customHeight="1" x14ac:dyDescent="0.3"/>
    <row r="336" ht="14.25" customHeight="1" x14ac:dyDescent="0.3"/>
    <row r="337" ht="14.25" customHeight="1" x14ac:dyDescent="0.3"/>
    <row r="338" ht="14.25" customHeight="1" x14ac:dyDescent="0.3"/>
    <row r="339" ht="14.25" customHeight="1" x14ac:dyDescent="0.3"/>
    <row r="340" ht="14.25" customHeight="1" x14ac:dyDescent="0.3"/>
    <row r="341" ht="14.25" customHeight="1" x14ac:dyDescent="0.3"/>
    <row r="342" ht="14.25" customHeight="1" x14ac:dyDescent="0.3"/>
    <row r="343" ht="14.25" customHeight="1" x14ac:dyDescent="0.3"/>
    <row r="344" ht="14.25" customHeight="1" x14ac:dyDescent="0.3"/>
    <row r="345" ht="14.25" customHeight="1" x14ac:dyDescent="0.3"/>
    <row r="346" ht="14.25" customHeight="1" x14ac:dyDescent="0.3"/>
    <row r="347" ht="14.25" customHeight="1" x14ac:dyDescent="0.3"/>
    <row r="348" ht="14.25" customHeight="1" x14ac:dyDescent="0.3"/>
    <row r="349" ht="14.25" customHeight="1" x14ac:dyDescent="0.3"/>
    <row r="350" ht="14.25" customHeight="1" x14ac:dyDescent="0.3"/>
    <row r="351" ht="14.25" customHeight="1" x14ac:dyDescent="0.3"/>
    <row r="352" ht="14.25" customHeight="1" x14ac:dyDescent="0.3"/>
    <row r="353" ht="14.25" customHeight="1" x14ac:dyDescent="0.3"/>
    <row r="354" ht="14.25" customHeight="1" x14ac:dyDescent="0.3"/>
    <row r="355" ht="14.25" customHeight="1" x14ac:dyDescent="0.3"/>
    <row r="356" ht="14.25" customHeight="1" x14ac:dyDescent="0.3"/>
    <row r="357" ht="14.25" customHeight="1" x14ac:dyDescent="0.3"/>
    <row r="358" ht="14.25" customHeight="1" x14ac:dyDescent="0.3"/>
    <row r="359" ht="14.25" customHeight="1" x14ac:dyDescent="0.3"/>
    <row r="360" ht="14.25" customHeight="1" x14ac:dyDescent="0.3"/>
    <row r="361" ht="14.25" customHeight="1" x14ac:dyDescent="0.3"/>
    <row r="362" ht="14.25" customHeight="1" x14ac:dyDescent="0.3"/>
    <row r="363" ht="14.25" customHeight="1" x14ac:dyDescent="0.3"/>
    <row r="364" ht="14.25" customHeight="1" x14ac:dyDescent="0.3"/>
    <row r="365" ht="14.25" customHeight="1" x14ac:dyDescent="0.3"/>
    <row r="366" ht="14.25" customHeight="1" x14ac:dyDescent="0.3"/>
    <row r="367" ht="14.25" customHeight="1" x14ac:dyDescent="0.3"/>
    <row r="368" ht="14.25" customHeight="1" x14ac:dyDescent="0.3"/>
    <row r="369" ht="14.25" customHeight="1" x14ac:dyDescent="0.3"/>
    <row r="370" ht="14.25" customHeight="1" x14ac:dyDescent="0.3"/>
    <row r="371" ht="14.25" customHeight="1" x14ac:dyDescent="0.3"/>
    <row r="372" ht="14.25" customHeight="1" x14ac:dyDescent="0.3"/>
    <row r="373" ht="14.25" customHeight="1" x14ac:dyDescent="0.3"/>
    <row r="374" ht="14.25" customHeight="1" x14ac:dyDescent="0.3"/>
    <row r="375" ht="14.25" customHeight="1" x14ac:dyDescent="0.3"/>
    <row r="376" ht="14.25" customHeight="1" x14ac:dyDescent="0.3"/>
    <row r="377" ht="14.25" customHeight="1" x14ac:dyDescent="0.3"/>
    <row r="378" ht="14.25" customHeight="1" x14ac:dyDescent="0.3"/>
    <row r="379" ht="14.25" customHeight="1" x14ac:dyDescent="0.3"/>
    <row r="380" ht="14.25" customHeight="1" x14ac:dyDescent="0.3"/>
    <row r="381" ht="14.25" customHeight="1" x14ac:dyDescent="0.3"/>
    <row r="382" ht="14.25" customHeight="1" x14ac:dyDescent="0.3"/>
    <row r="383" ht="14.25" customHeight="1" x14ac:dyDescent="0.3"/>
    <row r="384" ht="14.25" customHeight="1" x14ac:dyDescent="0.3"/>
    <row r="385" ht="14.25" customHeight="1" x14ac:dyDescent="0.3"/>
    <row r="386" ht="14.25" customHeight="1" x14ac:dyDescent="0.3"/>
    <row r="387" ht="14.25" customHeight="1" x14ac:dyDescent="0.3"/>
    <row r="388" ht="14.25" customHeight="1" x14ac:dyDescent="0.3"/>
    <row r="389" ht="14.25" customHeight="1" x14ac:dyDescent="0.3"/>
    <row r="390" ht="14.25" customHeight="1" x14ac:dyDescent="0.3"/>
    <row r="391" ht="14.25" customHeight="1" x14ac:dyDescent="0.3"/>
    <row r="392" ht="14.25" customHeight="1" x14ac:dyDescent="0.3"/>
    <row r="393" ht="14.25" customHeight="1" x14ac:dyDescent="0.3"/>
    <row r="394" ht="14.25" customHeight="1" x14ac:dyDescent="0.3"/>
    <row r="395" ht="14.25" customHeight="1" x14ac:dyDescent="0.3"/>
    <row r="396" ht="14.25" customHeight="1" x14ac:dyDescent="0.3"/>
    <row r="397" ht="14.25" customHeight="1" x14ac:dyDescent="0.3"/>
    <row r="398" ht="14.25" customHeight="1" x14ac:dyDescent="0.3"/>
    <row r="399" ht="14.25" customHeight="1" x14ac:dyDescent="0.3"/>
    <row r="400" ht="14.25" customHeight="1" x14ac:dyDescent="0.3"/>
    <row r="401" ht="14.25" customHeight="1" x14ac:dyDescent="0.3"/>
    <row r="402" ht="14.25" customHeight="1" x14ac:dyDescent="0.3"/>
    <row r="403" ht="14.2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Hoja7"/>
  <dimension ref="A1:I1000"/>
  <sheetViews>
    <sheetView workbookViewId="0"/>
  </sheetViews>
  <sheetFormatPr baseColWidth="10" defaultColWidth="14.44140625" defaultRowHeight="15" customHeight="1" x14ac:dyDescent="0.3"/>
  <cols>
    <col min="1" max="1" width="60.88671875" customWidth="1"/>
    <col min="2" max="2" width="50.33203125" customWidth="1"/>
    <col min="3" max="3" width="24.109375" customWidth="1"/>
    <col min="4" max="4" width="24.44140625" customWidth="1"/>
    <col min="5" max="5" width="42.88671875" customWidth="1"/>
    <col min="6" max="6" width="43" customWidth="1"/>
    <col min="7" max="7" width="15.33203125" customWidth="1"/>
    <col min="8" max="8" width="79.5546875" customWidth="1"/>
    <col min="9" max="9" width="101.6640625" customWidth="1"/>
  </cols>
  <sheetData>
    <row r="1" spans="1:9" ht="14.25" customHeight="1" x14ac:dyDescent="0.3">
      <c r="A1" s="274" t="s">
        <v>385</v>
      </c>
      <c r="B1" s="189" t="s">
        <v>5</v>
      </c>
      <c r="C1" s="189" t="s">
        <v>671</v>
      </c>
      <c r="D1" s="189" t="s">
        <v>533</v>
      </c>
      <c r="E1" s="189" t="s">
        <v>672</v>
      </c>
      <c r="F1" s="275" t="s">
        <v>673</v>
      </c>
      <c r="G1" s="189" t="s">
        <v>3</v>
      </c>
      <c r="H1" s="190" t="s">
        <v>674</v>
      </c>
      <c r="I1" s="25" t="s">
        <v>675</v>
      </c>
    </row>
    <row r="2" spans="1:9" ht="14.25" customHeight="1" x14ac:dyDescent="0.3">
      <c r="A2" s="40">
        <v>1</v>
      </c>
      <c r="B2" s="175" t="s">
        <v>394</v>
      </c>
      <c r="C2" s="175" t="s">
        <v>676</v>
      </c>
      <c r="D2" s="175">
        <v>0</v>
      </c>
      <c r="E2" s="175">
        <v>1</v>
      </c>
      <c r="F2" s="195" t="s">
        <v>677</v>
      </c>
      <c r="G2" s="175" t="s">
        <v>421</v>
      </c>
      <c r="H2" s="37" t="s">
        <v>151</v>
      </c>
      <c r="I2" s="25" t="s">
        <v>678</v>
      </c>
    </row>
    <row r="3" spans="1:9" ht="14.25" customHeight="1" x14ac:dyDescent="0.3">
      <c r="A3" s="40">
        <v>2</v>
      </c>
      <c r="B3" s="175" t="s">
        <v>154</v>
      </c>
      <c r="C3" s="175" t="s">
        <v>676</v>
      </c>
      <c r="D3" s="175">
        <v>0</v>
      </c>
      <c r="E3" s="175">
        <v>1</v>
      </c>
      <c r="F3" s="195" t="s">
        <v>679</v>
      </c>
      <c r="G3" s="175" t="s">
        <v>421</v>
      </c>
      <c r="H3" s="37" t="s">
        <v>150</v>
      </c>
    </row>
    <row r="4" spans="1:9" ht="14.25" customHeight="1" x14ac:dyDescent="0.3">
      <c r="A4" s="40">
        <v>3</v>
      </c>
      <c r="B4" s="175" t="s">
        <v>398</v>
      </c>
      <c r="C4" s="175" t="s">
        <v>676</v>
      </c>
      <c r="D4" s="175">
        <v>0</v>
      </c>
      <c r="E4" s="175">
        <v>1</v>
      </c>
      <c r="F4" s="195" t="s">
        <v>680</v>
      </c>
      <c r="G4" s="175" t="s">
        <v>421</v>
      </c>
      <c r="H4" s="37" t="s">
        <v>150</v>
      </c>
      <c r="I4" s="25" t="s">
        <v>681</v>
      </c>
    </row>
    <row r="5" spans="1:9" ht="14.25" customHeight="1" x14ac:dyDescent="0.3">
      <c r="A5" s="40">
        <v>4</v>
      </c>
      <c r="B5" s="175" t="s">
        <v>402</v>
      </c>
      <c r="C5" s="175" t="s">
        <v>676</v>
      </c>
      <c r="D5" s="175">
        <v>0</v>
      </c>
      <c r="E5" s="175">
        <v>1</v>
      </c>
      <c r="F5" s="195" t="s">
        <v>682</v>
      </c>
      <c r="G5" s="175" t="s">
        <v>421</v>
      </c>
      <c r="H5" s="37" t="s">
        <v>150</v>
      </c>
    </row>
    <row r="6" spans="1:9" ht="26.25" customHeight="1" x14ac:dyDescent="0.3">
      <c r="A6" s="40">
        <v>5</v>
      </c>
      <c r="B6" s="175" t="s">
        <v>343</v>
      </c>
      <c r="C6" s="175" t="s">
        <v>676</v>
      </c>
      <c r="D6" s="175">
        <v>0</v>
      </c>
      <c r="E6" s="175">
        <v>1</v>
      </c>
      <c r="F6" s="195" t="s">
        <v>683</v>
      </c>
      <c r="G6" s="175" t="s">
        <v>421</v>
      </c>
      <c r="H6" s="37" t="s">
        <v>150</v>
      </c>
    </row>
    <row r="7" spans="1:9" ht="210" customHeight="1" x14ac:dyDescent="0.3">
      <c r="A7" s="40">
        <v>6</v>
      </c>
      <c r="B7" s="175" t="s">
        <v>160</v>
      </c>
      <c r="C7" s="175" t="s">
        <v>684</v>
      </c>
      <c r="D7" s="175">
        <v>0</v>
      </c>
      <c r="E7" s="175">
        <v>1</v>
      </c>
      <c r="F7" s="195" t="s">
        <v>685</v>
      </c>
      <c r="G7" s="175" t="s">
        <v>421</v>
      </c>
      <c r="H7" s="37" t="s">
        <v>150</v>
      </c>
      <c r="I7" s="120" t="s">
        <v>686</v>
      </c>
    </row>
    <row r="8" spans="1:9" ht="14.25" customHeight="1" x14ac:dyDescent="0.3">
      <c r="A8" s="40">
        <v>7</v>
      </c>
      <c r="B8" s="175" t="s">
        <v>407</v>
      </c>
      <c r="C8" s="175" t="s">
        <v>684</v>
      </c>
      <c r="D8" s="175">
        <v>0</v>
      </c>
      <c r="E8" s="175">
        <v>1</v>
      </c>
      <c r="F8" s="195" t="s">
        <v>687</v>
      </c>
      <c r="G8" s="175" t="s">
        <v>421</v>
      </c>
      <c r="H8" s="37" t="s">
        <v>150</v>
      </c>
    </row>
    <row r="9" spans="1:9" ht="14.25" customHeight="1" x14ac:dyDescent="0.3">
      <c r="A9" s="40">
        <v>8</v>
      </c>
      <c r="B9" s="175" t="s">
        <v>408</v>
      </c>
      <c r="C9" s="175" t="s">
        <v>684</v>
      </c>
      <c r="D9" s="175">
        <v>0</v>
      </c>
      <c r="E9" s="175">
        <v>1</v>
      </c>
      <c r="F9" s="195" t="s">
        <v>688</v>
      </c>
      <c r="G9" s="175" t="s">
        <v>421</v>
      </c>
      <c r="H9" s="37" t="s">
        <v>150</v>
      </c>
    </row>
    <row r="10" spans="1:9" ht="14.25" customHeight="1" x14ac:dyDescent="0.3">
      <c r="A10" s="40">
        <v>9</v>
      </c>
      <c r="B10" s="175" t="s">
        <v>394</v>
      </c>
      <c r="C10" s="175" t="s">
        <v>676</v>
      </c>
      <c r="D10" s="175">
        <v>600</v>
      </c>
      <c r="E10" s="175" t="s">
        <v>689</v>
      </c>
      <c r="F10" s="195" t="s">
        <v>690</v>
      </c>
      <c r="G10" s="175" t="s">
        <v>421</v>
      </c>
      <c r="H10" s="37" t="s">
        <v>150</v>
      </c>
    </row>
    <row r="11" spans="1:9" ht="14.25" customHeight="1" x14ac:dyDescent="0.3">
      <c r="A11" s="40">
        <v>10</v>
      </c>
      <c r="B11" s="175" t="s">
        <v>154</v>
      </c>
      <c r="C11" s="175" t="s">
        <v>676</v>
      </c>
      <c r="D11" s="175">
        <v>600</v>
      </c>
      <c r="E11" s="175" t="s">
        <v>689</v>
      </c>
      <c r="F11" s="195" t="s">
        <v>691</v>
      </c>
      <c r="G11" s="175" t="s">
        <v>421</v>
      </c>
      <c r="H11" s="37" t="s">
        <v>150</v>
      </c>
    </row>
    <row r="12" spans="1:9" ht="14.25" customHeight="1" x14ac:dyDescent="0.3">
      <c r="A12" s="40">
        <v>11</v>
      </c>
      <c r="B12" s="175" t="s">
        <v>398</v>
      </c>
      <c r="C12" s="175" t="s">
        <v>676</v>
      </c>
      <c r="D12" s="175">
        <v>400</v>
      </c>
      <c r="E12" s="175" t="s">
        <v>692</v>
      </c>
      <c r="F12" s="195" t="s">
        <v>693</v>
      </c>
      <c r="G12" s="175" t="s">
        <v>421</v>
      </c>
      <c r="H12" s="37" t="s">
        <v>150</v>
      </c>
    </row>
    <row r="13" spans="1:9" ht="14.25" customHeight="1" x14ac:dyDescent="0.3">
      <c r="A13" s="40">
        <v>12</v>
      </c>
      <c r="B13" s="175" t="s">
        <v>402</v>
      </c>
      <c r="C13" s="175" t="s">
        <v>676</v>
      </c>
      <c r="D13" s="175">
        <v>400</v>
      </c>
      <c r="E13" s="175" t="s">
        <v>692</v>
      </c>
      <c r="F13" s="195" t="s">
        <v>694</v>
      </c>
      <c r="G13" s="175" t="s">
        <v>421</v>
      </c>
      <c r="H13" s="37" t="s">
        <v>150</v>
      </c>
    </row>
    <row r="14" spans="1:9" ht="14.25" customHeight="1" x14ac:dyDescent="0.3">
      <c r="A14" s="40">
        <v>13</v>
      </c>
      <c r="B14" s="175" t="s">
        <v>343</v>
      </c>
      <c r="C14" s="175" t="s">
        <v>676</v>
      </c>
      <c r="D14" s="175">
        <v>400</v>
      </c>
      <c r="E14" s="175" t="s">
        <v>692</v>
      </c>
      <c r="F14" s="195" t="s">
        <v>695</v>
      </c>
      <c r="G14" s="175" t="s">
        <v>421</v>
      </c>
      <c r="H14" s="37" t="s">
        <v>150</v>
      </c>
    </row>
    <row r="15" spans="1:9" ht="14.25" customHeight="1" x14ac:dyDescent="0.3">
      <c r="A15" s="40">
        <v>14</v>
      </c>
      <c r="B15" s="175" t="s">
        <v>160</v>
      </c>
      <c r="C15" s="175" t="s">
        <v>684</v>
      </c>
      <c r="D15" s="175">
        <v>300</v>
      </c>
      <c r="E15" s="175" t="s">
        <v>696</v>
      </c>
      <c r="F15" s="195" t="s">
        <v>697</v>
      </c>
      <c r="G15" s="175" t="s">
        <v>421</v>
      </c>
      <c r="H15" s="37" t="s">
        <v>150</v>
      </c>
    </row>
    <row r="16" spans="1:9" ht="14.25" customHeight="1" x14ac:dyDescent="0.3">
      <c r="A16" s="40">
        <v>15</v>
      </c>
      <c r="B16" s="175" t="s">
        <v>407</v>
      </c>
      <c r="C16" s="175" t="s">
        <v>684</v>
      </c>
      <c r="D16" s="175">
        <v>300</v>
      </c>
      <c r="E16" s="175" t="s">
        <v>696</v>
      </c>
      <c r="F16" s="195" t="s">
        <v>698</v>
      </c>
      <c r="G16" s="175" t="s">
        <v>421</v>
      </c>
      <c r="H16" s="37" t="s">
        <v>150</v>
      </c>
    </row>
    <row r="17" spans="1:8" ht="14.25" customHeight="1" x14ac:dyDescent="0.3">
      <c r="A17" s="204">
        <v>16</v>
      </c>
      <c r="B17" s="186" t="s">
        <v>408</v>
      </c>
      <c r="C17" s="186" t="s">
        <v>684</v>
      </c>
      <c r="D17" s="186">
        <v>300</v>
      </c>
      <c r="E17" s="186" t="s">
        <v>696</v>
      </c>
      <c r="F17" s="198" t="s">
        <v>699</v>
      </c>
      <c r="G17" s="186" t="s">
        <v>421</v>
      </c>
      <c r="H17" s="43" t="s">
        <v>150</v>
      </c>
    </row>
    <row r="18" spans="1:8" ht="14.25" customHeight="1" x14ac:dyDescent="0.3"/>
    <row r="19" spans="1:8" ht="14.25" customHeight="1" x14ac:dyDescent="0.3"/>
    <row r="20" spans="1:8" ht="14.25" customHeight="1" x14ac:dyDescent="0.3"/>
    <row r="21" spans="1:8" ht="14.25" customHeight="1" x14ac:dyDescent="0.3"/>
    <row r="22" spans="1:8" ht="14.25" customHeight="1" x14ac:dyDescent="0.3"/>
    <row r="23" spans="1:8" ht="14.25" customHeight="1" x14ac:dyDescent="0.3">
      <c r="A23" s="276"/>
      <c r="B23" s="277" t="s">
        <v>700</v>
      </c>
      <c r="C23" s="277"/>
      <c r="D23" s="277"/>
      <c r="E23" s="278"/>
    </row>
    <row r="24" spans="1:8" ht="14.25" customHeight="1" x14ac:dyDescent="0.3">
      <c r="A24" s="188"/>
      <c r="B24" s="189" t="s">
        <v>701</v>
      </c>
      <c r="C24" s="189" t="s">
        <v>702</v>
      </c>
      <c r="D24" s="189" t="s">
        <v>703</v>
      </c>
      <c r="E24" s="190" t="s">
        <v>704</v>
      </c>
      <c r="F24" s="278" t="s">
        <v>705</v>
      </c>
      <c r="G24" s="278" t="s">
        <v>706</v>
      </c>
    </row>
    <row r="25" spans="1:8" ht="14.25" customHeight="1" x14ac:dyDescent="0.3">
      <c r="A25" s="279" t="s">
        <v>707</v>
      </c>
      <c r="B25" s="195" t="s">
        <v>708</v>
      </c>
      <c r="C25" s="195" t="s">
        <v>708</v>
      </c>
      <c r="D25" s="195" t="s">
        <v>709</v>
      </c>
      <c r="E25" s="280" t="s">
        <v>710</v>
      </c>
      <c r="F25" s="281" t="s">
        <v>711</v>
      </c>
      <c r="G25" s="282" t="s">
        <v>712</v>
      </c>
    </row>
    <row r="26" spans="1:8" ht="14.25" customHeight="1" x14ac:dyDescent="0.3">
      <c r="A26" s="283" t="s">
        <v>713</v>
      </c>
      <c r="B26" s="198" t="s">
        <v>708</v>
      </c>
      <c r="C26" s="198" t="s">
        <v>708</v>
      </c>
      <c r="D26" s="198" t="s">
        <v>708</v>
      </c>
      <c r="E26" s="284" t="s">
        <v>709</v>
      </c>
      <c r="F26" s="283" t="s">
        <v>711</v>
      </c>
      <c r="G26" s="285" t="s">
        <v>712</v>
      </c>
    </row>
    <row r="27" spans="1:8" ht="43.5" customHeight="1" x14ac:dyDescent="0.3">
      <c r="H27" s="120" t="s">
        <v>714</v>
      </c>
    </row>
    <row r="28" spans="1:8" ht="62.25" customHeight="1" x14ac:dyDescent="0.3">
      <c r="A28" s="120" t="s">
        <v>715</v>
      </c>
    </row>
    <row r="29" spans="1:8" ht="65.25" customHeight="1" x14ac:dyDescent="0.3">
      <c r="A29" s="120"/>
      <c r="H29" s="120" t="s">
        <v>716</v>
      </c>
    </row>
    <row r="30" spans="1:8" ht="130.5" customHeight="1" x14ac:dyDescent="0.3">
      <c r="A30" s="120" t="s">
        <v>717</v>
      </c>
      <c r="H30" s="120"/>
    </row>
    <row r="31" spans="1:8" ht="14.25" customHeight="1" x14ac:dyDescent="0.3">
      <c r="H31" s="120" t="s">
        <v>718</v>
      </c>
    </row>
    <row r="32" spans="1:8" ht="14.25" customHeight="1" x14ac:dyDescent="0.3"/>
    <row r="33" spans="2:8" ht="24.75" customHeight="1" x14ac:dyDescent="0.3"/>
    <row r="34" spans="2:8" ht="14.25" customHeight="1" x14ac:dyDescent="0.3"/>
    <row r="35" spans="2:8" ht="14.25" customHeight="1" x14ac:dyDescent="0.3">
      <c r="B35" s="286"/>
      <c r="C35" s="286"/>
      <c r="F35" s="286"/>
      <c r="H35" s="286"/>
    </row>
    <row r="36" spans="2:8" ht="14.25" customHeight="1" x14ac:dyDescent="0.3"/>
    <row r="37" spans="2:8" ht="14.25" customHeight="1" x14ac:dyDescent="0.3"/>
    <row r="38" spans="2:8" ht="14.25" customHeight="1" x14ac:dyDescent="0.3"/>
    <row r="39" spans="2:8" ht="14.25" customHeight="1" x14ac:dyDescent="0.3"/>
    <row r="40" spans="2:8" ht="14.25" customHeight="1" x14ac:dyDescent="0.3"/>
    <row r="41" spans="2:8" ht="14.25" customHeight="1" x14ac:dyDescent="0.3"/>
    <row r="42" spans="2:8" ht="14.25" customHeight="1" x14ac:dyDescent="0.3"/>
    <row r="43" spans="2:8" ht="14.25" customHeight="1" x14ac:dyDescent="0.3"/>
    <row r="44" spans="2:8" ht="14.25" customHeight="1" x14ac:dyDescent="0.3"/>
    <row r="45" spans="2:8" ht="14.25" customHeight="1" x14ac:dyDescent="0.3"/>
    <row r="46" spans="2:8" ht="14.25" customHeight="1" x14ac:dyDescent="0.3"/>
    <row r="47" spans="2:8" ht="14.25" customHeight="1" x14ac:dyDescent="0.3"/>
    <row r="48" spans="2: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Hoja8"/>
  <dimension ref="A1:H1000"/>
  <sheetViews>
    <sheetView workbookViewId="0"/>
  </sheetViews>
  <sheetFormatPr baseColWidth="10" defaultColWidth="14.44140625" defaultRowHeight="15" customHeight="1" x14ac:dyDescent="0.3"/>
  <cols>
    <col min="1" max="1" width="10.6640625" customWidth="1"/>
    <col min="2" max="2" width="13.88671875" customWidth="1"/>
    <col min="3" max="7" width="10.6640625" customWidth="1"/>
    <col min="8" max="8" width="22.88671875" customWidth="1"/>
  </cols>
  <sheetData>
    <row r="1" spans="1:8" ht="14.25" customHeight="1" x14ac:dyDescent="0.3">
      <c r="A1" s="287" t="s">
        <v>719</v>
      </c>
      <c r="B1" s="25" t="s">
        <v>720</v>
      </c>
    </row>
    <row r="2" spans="1:8" ht="14.25" customHeight="1" x14ac:dyDescent="0.3">
      <c r="A2" s="288" t="s">
        <v>385</v>
      </c>
      <c r="B2" s="289" t="s">
        <v>386</v>
      </c>
      <c r="C2" s="289" t="s">
        <v>387</v>
      </c>
      <c r="D2" s="289" t="s">
        <v>648</v>
      </c>
      <c r="E2" s="289" t="s">
        <v>649</v>
      </c>
      <c r="F2" s="290" t="s">
        <v>721</v>
      </c>
    </row>
    <row r="3" spans="1:8" ht="14.25" customHeight="1" x14ac:dyDescent="0.3">
      <c r="A3" s="291">
        <v>1</v>
      </c>
      <c r="B3" s="292" t="s">
        <v>393</v>
      </c>
      <c r="C3" s="292" t="s">
        <v>394</v>
      </c>
      <c r="D3" s="293">
        <v>300</v>
      </c>
      <c r="E3" s="294" t="s">
        <v>150</v>
      </c>
      <c r="F3" s="223" t="s">
        <v>152</v>
      </c>
      <c r="H3" s="295" t="s">
        <v>722</v>
      </c>
    </row>
    <row r="4" spans="1:8" ht="14.25" customHeight="1" x14ac:dyDescent="0.3">
      <c r="A4" s="296">
        <v>2</v>
      </c>
      <c r="B4" s="221" t="s">
        <v>393</v>
      </c>
      <c r="C4" s="221" t="s">
        <v>154</v>
      </c>
      <c r="D4" s="297">
        <v>300</v>
      </c>
      <c r="E4" s="298" t="s">
        <v>150</v>
      </c>
      <c r="F4" s="222" t="s">
        <v>152</v>
      </c>
    </row>
    <row r="5" spans="1:8" ht="14.25" customHeight="1" x14ac:dyDescent="0.3">
      <c r="A5" s="291">
        <v>3</v>
      </c>
      <c r="B5" s="221" t="s">
        <v>393</v>
      </c>
      <c r="C5" s="221" t="s">
        <v>398</v>
      </c>
      <c r="D5" s="297">
        <v>300</v>
      </c>
      <c r="E5" s="298" t="s">
        <v>150</v>
      </c>
      <c r="F5" s="222" t="s">
        <v>152</v>
      </c>
      <c r="H5" s="295" t="s">
        <v>723</v>
      </c>
    </row>
    <row r="6" spans="1:8" ht="14.25" customHeight="1" x14ac:dyDescent="0.3">
      <c r="A6" s="296">
        <v>4</v>
      </c>
      <c r="B6" s="221" t="s">
        <v>393</v>
      </c>
      <c r="C6" s="221" t="s">
        <v>402</v>
      </c>
      <c r="D6" s="297">
        <v>300</v>
      </c>
      <c r="E6" s="298" t="s">
        <v>150</v>
      </c>
      <c r="F6" s="222" t="s">
        <v>152</v>
      </c>
    </row>
    <row r="7" spans="1:8" ht="14.25" customHeight="1" x14ac:dyDescent="0.3">
      <c r="A7" s="291">
        <v>5</v>
      </c>
      <c r="B7" s="221" t="s">
        <v>393</v>
      </c>
      <c r="C7" s="221" t="s">
        <v>343</v>
      </c>
      <c r="D7" s="297">
        <v>300</v>
      </c>
      <c r="E7" s="298" t="s">
        <v>150</v>
      </c>
      <c r="F7" s="222" t="s">
        <v>152</v>
      </c>
    </row>
    <row r="8" spans="1:8" ht="14.25" customHeight="1" x14ac:dyDescent="0.3">
      <c r="A8" s="296">
        <v>6</v>
      </c>
      <c r="B8" s="221" t="s">
        <v>393</v>
      </c>
      <c r="C8" s="221" t="s">
        <v>160</v>
      </c>
      <c r="D8" s="297">
        <v>300</v>
      </c>
      <c r="E8" s="298" t="s">
        <v>150</v>
      </c>
      <c r="F8" s="222" t="s">
        <v>724</v>
      </c>
    </row>
    <row r="9" spans="1:8" ht="14.25" customHeight="1" x14ac:dyDescent="0.3">
      <c r="A9" s="291">
        <v>7</v>
      </c>
      <c r="B9" s="221" t="s">
        <v>393</v>
      </c>
      <c r="C9" s="221" t="s">
        <v>407</v>
      </c>
      <c r="D9" s="297">
        <v>300</v>
      </c>
      <c r="E9" s="298" t="s">
        <v>150</v>
      </c>
      <c r="F9" s="222" t="s">
        <v>724</v>
      </c>
    </row>
    <row r="10" spans="1:8" ht="14.25" customHeight="1" x14ac:dyDescent="0.3">
      <c r="A10" s="296">
        <v>8</v>
      </c>
      <c r="B10" s="221" t="s">
        <v>393</v>
      </c>
      <c r="C10" s="221" t="s">
        <v>408</v>
      </c>
      <c r="D10" s="297">
        <v>300</v>
      </c>
      <c r="E10" s="298" t="s">
        <v>150</v>
      </c>
      <c r="F10" s="222" t="s">
        <v>724</v>
      </c>
    </row>
    <row r="11" spans="1:8" ht="14.25" customHeight="1" x14ac:dyDescent="0.3">
      <c r="A11" s="291">
        <v>9</v>
      </c>
      <c r="B11" s="221" t="s">
        <v>409</v>
      </c>
      <c r="C11" s="221" t="s">
        <v>394</v>
      </c>
      <c r="D11" s="297">
        <v>0</v>
      </c>
      <c r="E11" s="298" t="s">
        <v>151</v>
      </c>
      <c r="F11" s="222" t="s">
        <v>152</v>
      </c>
    </row>
    <row r="12" spans="1:8" ht="14.25" customHeight="1" x14ac:dyDescent="0.3">
      <c r="A12" s="296">
        <v>10</v>
      </c>
      <c r="B12" s="221" t="s">
        <v>409</v>
      </c>
      <c r="C12" s="221" t="s">
        <v>154</v>
      </c>
      <c r="D12" s="297">
        <v>0</v>
      </c>
      <c r="E12" s="298" t="s">
        <v>151</v>
      </c>
      <c r="F12" s="222" t="s">
        <v>152</v>
      </c>
    </row>
    <row r="13" spans="1:8" ht="14.25" customHeight="1" x14ac:dyDescent="0.3">
      <c r="A13" s="291">
        <v>11</v>
      </c>
      <c r="B13" s="221" t="s">
        <v>409</v>
      </c>
      <c r="C13" s="221" t="s">
        <v>398</v>
      </c>
      <c r="D13" s="297">
        <v>500</v>
      </c>
      <c r="E13" s="298" t="s">
        <v>150</v>
      </c>
      <c r="F13" s="222" t="s">
        <v>152</v>
      </c>
    </row>
    <row r="14" spans="1:8" ht="14.25" customHeight="1" x14ac:dyDescent="0.3">
      <c r="A14" s="296">
        <v>12</v>
      </c>
      <c r="B14" s="221" t="s">
        <v>409</v>
      </c>
      <c r="C14" s="221" t="s">
        <v>402</v>
      </c>
      <c r="D14" s="297">
        <v>500</v>
      </c>
      <c r="E14" s="298" t="s">
        <v>153</v>
      </c>
      <c r="F14" s="222" t="s">
        <v>152</v>
      </c>
    </row>
    <row r="15" spans="1:8" ht="14.25" customHeight="1" x14ac:dyDescent="0.3">
      <c r="A15" s="291">
        <v>13</v>
      </c>
      <c r="B15" s="221" t="s">
        <v>409</v>
      </c>
      <c r="C15" s="221" t="s">
        <v>343</v>
      </c>
      <c r="D15" s="297">
        <v>500</v>
      </c>
      <c r="E15" s="298" t="s">
        <v>150</v>
      </c>
      <c r="F15" s="222" t="s">
        <v>152</v>
      </c>
    </row>
    <row r="16" spans="1:8" ht="14.25" customHeight="1" x14ac:dyDescent="0.3">
      <c r="A16" s="296">
        <v>14</v>
      </c>
      <c r="B16" s="221" t="s">
        <v>409</v>
      </c>
      <c r="C16" s="221" t="s">
        <v>160</v>
      </c>
      <c r="D16" s="297">
        <v>200</v>
      </c>
      <c r="E16" s="298" t="s">
        <v>150</v>
      </c>
      <c r="F16" s="222" t="s">
        <v>724</v>
      </c>
    </row>
    <row r="17" spans="1:6" ht="14.25" customHeight="1" x14ac:dyDescent="0.3">
      <c r="A17" s="291">
        <v>15</v>
      </c>
      <c r="B17" s="221" t="s">
        <v>409</v>
      </c>
      <c r="C17" s="221" t="s">
        <v>407</v>
      </c>
      <c r="D17" s="297">
        <v>200</v>
      </c>
      <c r="E17" s="298" t="s">
        <v>150</v>
      </c>
      <c r="F17" s="222" t="s">
        <v>724</v>
      </c>
    </row>
    <row r="18" spans="1:6" ht="14.25" customHeight="1" x14ac:dyDescent="0.3">
      <c r="A18" s="296">
        <v>16</v>
      </c>
      <c r="B18" s="221" t="s">
        <v>409</v>
      </c>
      <c r="C18" s="221" t="s">
        <v>408</v>
      </c>
      <c r="D18" s="297">
        <v>200</v>
      </c>
      <c r="E18" s="298" t="s">
        <v>150</v>
      </c>
      <c r="F18" s="222" t="s">
        <v>724</v>
      </c>
    </row>
    <row r="19" spans="1:6" ht="14.25" customHeight="1" x14ac:dyDescent="0.3">
      <c r="A19" s="291">
        <v>17</v>
      </c>
      <c r="B19" s="221" t="s">
        <v>138</v>
      </c>
      <c r="C19" s="221" t="s">
        <v>394</v>
      </c>
      <c r="D19" s="297">
        <v>0</v>
      </c>
      <c r="E19" s="298" t="s">
        <v>151</v>
      </c>
      <c r="F19" s="222" t="s">
        <v>152</v>
      </c>
    </row>
    <row r="20" spans="1:6" ht="14.25" customHeight="1" x14ac:dyDescent="0.3">
      <c r="A20" s="296">
        <v>18</v>
      </c>
      <c r="B20" s="221" t="s">
        <v>138</v>
      </c>
      <c r="C20" s="221" t="s">
        <v>154</v>
      </c>
      <c r="D20" s="297">
        <v>0</v>
      </c>
      <c r="E20" s="298" t="s">
        <v>150</v>
      </c>
      <c r="F20" s="222" t="s">
        <v>152</v>
      </c>
    </row>
    <row r="21" spans="1:6" ht="14.25" customHeight="1" x14ac:dyDescent="0.3">
      <c r="A21" s="291">
        <v>19</v>
      </c>
      <c r="B21" s="221" t="s">
        <v>138</v>
      </c>
      <c r="C21" s="221" t="s">
        <v>398</v>
      </c>
      <c r="D21" s="297">
        <v>500</v>
      </c>
      <c r="E21" s="298" t="s">
        <v>150</v>
      </c>
      <c r="F21" s="222" t="s">
        <v>152</v>
      </c>
    </row>
    <row r="22" spans="1:6" ht="14.25" customHeight="1" x14ac:dyDescent="0.3">
      <c r="A22" s="296">
        <v>20</v>
      </c>
      <c r="B22" s="221" t="s">
        <v>138</v>
      </c>
      <c r="C22" s="221" t="s">
        <v>402</v>
      </c>
      <c r="D22" s="297">
        <v>500</v>
      </c>
      <c r="E22" s="298" t="s">
        <v>153</v>
      </c>
      <c r="F22" s="222" t="s">
        <v>152</v>
      </c>
    </row>
    <row r="23" spans="1:6" ht="14.25" customHeight="1" x14ac:dyDescent="0.3">
      <c r="A23" s="291">
        <v>21</v>
      </c>
      <c r="B23" s="221" t="s">
        <v>138</v>
      </c>
      <c r="C23" s="221" t="s">
        <v>343</v>
      </c>
      <c r="D23" s="297">
        <v>500</v>
      </c>
      <c r="E23" s="298" t="s">
        <v>150</v>
      </c>
      <c r="F23" s="222" t="s">
        <v>152</v>
      </c>
    </row>
    <row r="24" spans="1:6" ht="14.25" customHeight="1" x14ac:dyDescent="0.3">
      <c r="A24" s="296">
        <v>22</v>
      </c>
      <c r="B24" s="221" t="s">
        <v>138</v>
      </c>
      <c r="C24" s="221" t="s">
        <v>160</v>
      </c>
      <c r="D24" s="297">
        <v>200</v>
      </c>
      <c r="E24" s="298" t="s">
        <v>150</v>
      </c>
      <c r="F24" s="222" t="s">
        <v>724</v>
      </c>
    </row>
    <row r="25" spans="1:6" ht="14.25" customHeight="1" x14ac:dyDescent="0.3">
      <c r="A25" s="291">
        <v>23</v>
      </c>
      <c r="B25" s="221" t="s">
        <v>138</v>
      </c>
      <c r="C25" s="221" t="s">
        <v>407</v>
      </c>
      <c r="D25" s="297">
        <v>200</v>
      </c>
      <c r="E25" s="298" t="s">
        <v>150</v>
      </c>
      <c r="F25" s="222" t="s">
        <v>724</v>
      </c>
    </row>
    <row r="26" spans="1:6" ht="14.25" customHeight="1" x14ac:dyDescent="0.3">
      <c r="A26" s="296">
        <v>24</v>
      </c>
      <c r="B26" s="221" t="s">
        <v>138</v>
      </c>
      <c r="C26" s="221" t="s">
        <v>408</v>
      </c>
      <c r="D26" s="297">
        <v>200</v>
      </c>
      <c r="E26" s="298" t="s">
        <v>150</v>
      </c>
      <c r="F26" s="222" t="s">
        <v>724</v>
      </c>
    </row>
    <row r="27" spans="1:6" ht="14.25" customHeight="1" x14ac:dyDescent="0.3">
      <c r="A27" s="291">
        <v>25</v>
      </c>
      <c r="B27" s="221" t="s">
        <v>155</v>
      </c>
      <c r="C27" s="221" t="s">
        <v>394</v>
      </c>
      <c r="D27" s="297">
        <v>0</v>
      </c>
      <c r="E27" s="298" t="s">
        <v>151</v>
      </c>
      <c r="F27" s="222" t="s">
        <v>152</v>
      </c>
    </row>
    <row r="28" spans="1:6" ht="14.25" customHeight="1" x14ac:dyDescent="0.3">
      <c r="A28" s="296">
        <v>26</v>
      </c>
      <c r="B28" s="221" t="s">
        <v>155</v>
      </c>
      <c r="C28" s="221" t="s">
        <v>154</v>
      </c>
      <c r="D28" s="297">
        <v>0</v>
      </c>
      <c r="E28" s="298" t="s">
        <v>151</v>
      </c>
      <c r="F28" s="222" t="s">
        <v>152</v>
      </c>
    </row>
    <row r="29" spans="1:6" ht="14.25" customHeight="1" x14ac:dyDescent="0.3">
      <c r="A29" s="291">
        <v>27</v>
      </c>
      <c r="B29" s="221" t="s">
        <v>155</v>
      </c>
      <c r="C29" s="221" t="s">
        <v>398</v>
      </c>
      <c r="D29" s="297">
        <v>1000</v>
      </c>
      <c r="E29" s="298" t="s">
        <v>150</v>
      </c>
      <c r="F29" s="222" t="s">
        <v>152</v>
      </c>
    </row>
    <row r="30" spans="1:6" ht="14.25" customHeight="1" x14ac:dyDescent="0.3">
      <c r="A30" s="296">
        <v>28</v>
      </c>
      <c r="B30" s="221" t="s">
        <v>155</v>
      </c>
      <c r="C30" s="221" t="s">
        <v>402</v>
      </c>
      <c r="D30" s="297">
        <v>1000</v>
      </c>
      <c r="E30" s="298" t="s">
        <v>150</v>
      </c>
      <c r="F30" s="222" t="s">
        <v>152</v>
      </c>
    </row>
    <row r="31" spans="1:6" ht="14.25" customHeight="1" x14ac:dyDescent="0.3">
      <c r="A31" s="291">
        <v>29</v>
      </c>
      <c r="B31" s="221" t="s">
        <v>155</v>
      </c>
      <c r="C31" s="221" t="s">
        <v>343</v>
      </c>
      <c r="D31" s="297">
        <v>1000</v>
      </c>
      <c r="E31" s="298" t="s">
        <v>150</v>
      </c>
      <c r="F31" s="222" t="s">
        <v>152</v>
      </c>
    </row>
    <row r="32" spans="1:6" ht="14.25" customHeight="1" x14ac:dyDescent="0.3">
      <c r="A32" s="296">
        <v>30</v>
      </c>
      <c r="B32" s="221" t="s">
        <v>155</v>
      </c>
      <c r="C32" s="221" t="s">
        <v>160</v>
      </c>
      <c r="D32" s="297">
        <v>500</v>
      </c>
      <c r="E32" s="298" t="s">
        <v>150</v>
      </c>
      <c r="F32" s="222" t="s">
        <v>724</v>
      </c>
    </row>
    <row r="33" spans="1:6" ht="14.25" customHeight="1" x14ac:dyDescent="0.3">
      <c r="A33" s="291">
        <v>31</v>
      </c>
      <c r="B33" s="221" t="s">
        <v>155</v>
      </c>
      <c r="C33" s="221" t="s">
        <v>407</v>
      </c>
      <c r="D33" s="297">
        <v>500</v>
      </c>
      <c r="E33" s="298" t="s">
        <v>150</v>
      </c>
      <c r="F33" s="222" t="s">
        <v>724</v>
      </c>
    </row>
    <row r="34" spans="1:6" ht="14.25" customHeight="1" x14ac:dyDescent="0.3">
      <c r="A34" s="296">
        <v>32</v>
      </c>
      <c r="B34" s="299" t="s">
        <v>155</v>
      </c>
      <c r="C34" s="299" t="s">
        <v>408</v>
      </c>
      <c r="D34" s="300">
        <v>500</v>
      </c>
      <c r="E34" s="301" t="s">
        <v>150</v>
      </c>
      <c r="F34" s="302" t="s">
        <v>724</v>
      </c>
    </row>
    <row r="35" spans="1:6" ht="14.25" customHeight="1" x14ac:dyDescent="0.3">
      <c r="A35" s="291">
        <v>33</v>
      </c>
      <c r="B35" s="303" t="s">
        <v>421</v>
      </c>
      <c r="C35" s="303" t="s">
        <v>394</v>
      </c>
      <c r="D35" s="304">
        <v>0</v>
      </c>
      <c r="E35" s="303" t="s">
        <v>151</v>
      </c>
      <c r="F35" s="220" t="s">
        <v>152</v>
      </c>
    </row>
    <row r="36" spans="1:6" ht="14.25" customHeight="1" x14ac:dyDescent="0.3">
      <c r="A36" s="296">
        <v>34</v>
      </c>
      <c r="B36" s="221" t="s">
        <v>421</v>
      </c>
      <c r="C36" s="221" t="s">
        <v>154</v>
      </c>
      <c r="D36" s="297">
        <v>0</v>
      </c>
      <c r="E36" s="221" t="s">
        <v>151</v>
      </c>
      <c r="F36" s="222" t="s">
        <v>152</v>
      </c>
    </row>
    <row r="37" spans="1:6" ht="14.25" customHeight="1" x14ac:dyDescent="0.3">
      <c r="A37" s="291">
        <v>35</v>
      </c>
      <c r="B37" s="221" t="s">
        <v>421</v>
      </c>
      <c r="C37" s="221" t="s">
        <v>398</v>
      </c>
      <c r="D37" s="297">
        <v>0</v>
      </c>
      <c r="E37" s="221" t="s">
        <v>151</v>
      </c>
      <c r="F37" s="222" t="s">
        <v>152</v>
      </c>
    </row>
    <row r="38" spans="1:6" ht="14.25" customHeight="1" x14ac:dyDescent="0.3">
      <c r="A38" s="296">
        <v>36</v>
      </c>
      <c r="B38" s="221" t="s">
        <v>421</v>
      </c>
      <c r="C38" s="221" t="s">
        <v>402</v>
      </c>
      <c r="D38" s="297">
        <v>0</v>
      </c>
      <c r="E38" s="221" t="s">
        <v>151</v>
      </c>
      <c r="F38" s="222" t="s">
        <v>152</v>
      </c>
    </row>
    <row r="39" spans="1:6" ht="14.25" customHeight="1" x14ac:dyDescent="0.3">
      <c r="A39" s="291">
        <v>37</v>
      </c>
      <c r="B39" s="221" t="s">
        <v>421</v>
      </c>
      <c r="C39" s="221" t="s">
        <v>343</v>
      </c>
      <c r="D39" s="297">
        <v>0</v>
      </c>
      <c r="E39" s="221" t="s">
        <v>151</v>
      </c>
      <c r="F39" s="222" t="s">
        <v>152</v>
      </c>
    </row>
    <row r="40" spans="1:6" ht="14.25" customHeight="1" x14ac:dyDescent="0.3">
      <c r="A40" s="296">
        <v>38</v>
      </c>
      <c r="B40" s="221" t="s">
        <v>421</v>
      </c>
      <c r="C40" s="221" t="s">
        <v>160</v>
      </c>
      <c r="D40" s="297">
        <v>5000</v>
      </c>
      <c r="E40" s="221" t="s">
        <v>150</v>
      </c>
      <c r="F40" s="222" t="s">
        <v>724</v>
      </c>
    </row>
    <row r="41" spans="1:6" ht="14.25" customHeight="1" x14ac:dyDescent="0.3">
      <c r="A41" s="291">
        <v>39</v>
      </c>
      <c r="B41" s="221" t="s">
        <v>421</v>
      </c>
      <c r="C41" s="221" t="s">
        <v>407</v>
      </c>
      <c r="D41" s="297">
        <v>5000</v>
      </c>
      <c r="E41" s="221" t="s">
        <v>150</v>
      </c>
      <c r="F41" s="222" t="s">
        <v>724</v>
      </c>
    </row>
    <row r="42" spans="1:6" ht="14.25" customHeight="1" x14ac:dyDescent="0.3">
      <c r="A42" s="296">
        <v>40</v>
      </c>
      <c r="B42" s="224" t="s">
        <v>421</v>
      </c>
      <c r="C42" s="224" t="s">
        <v>408</v>
      </c>
      <c r="D42" s="305">
        <v>5000</v>
      </c>
      <c r="E42" s="224" t="s">
        <v>150</v>
      </c>
      <c r="F42" s="306" t="s">
        <v>724</v>
      </c>
    </row>
    <row r="43" spans="1:6" ht="14.25" customHeight="1" x14ac:dyDescent="0.3"/>
    <row r="44" spans="1:6" ht="14.25" customHeight="1" x14ac:dyDescent="0.3"/>
    <row r="45" spans="1:6" ht="14.25" customHeight="1" x14ac:dyDescent="0.3"/>
    <row r="46" spans="1:6" ht="14.25" customHeight="1" x14ac:dyDescent="0.3"/>
    <row r="47" spans="1:6" ht="14.25" customHeight="1" x14ac:dyDescent="0.3"/>
    <row r="48" spans="1:6"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Hoja9"/>
  <dimension ref="A1:G1000"/>
  <sheetViews>
    <sheetView workbookViewId="0"/>
  </sheetViews>
  <sheetFormatPr baseColWidth="10" defaultColWidth="14.44140625" defaultRowHeight="15" customHeight="1" x14ac:dyDescent="0.3"/>
  <cols>
    <col min="1" max="1" width="10.6640625" customWidth="1"/>
    <col min="2" max="2" width="19.6640625" customWidth="1"/>
    <col min="3" max="3" width="10.6640625" customWidth="1"/>
    <col min="4" max="4" width="17.6640625" customWidth="1"/>
    <col min="5" max="6" width="10.6640625" customWidth="1"/>
    <col min="7" max="7" width="26.33203125" customWidth="1"/>
  </cols>
  <sheetData>
    <row r="1" spans="1:7" ht="14.25" customHeight="1" x14ac:dyDescent="0.3">
      <c r="A1" s="167" t="s">
        <v>385</v>
      </c>
      <c r="B1" s="168" t="s">
        <v>386</v>
      </c>
      <c r="C1" s="168" t="s">
        <v>387</v>
      </c>
      <c r="D1" s="168" t="s">
        <v>725</v>
      </c>
      <c r="E1" s="169" t="s">
        <v>649</v>
      </c>
    </row>
    <row r="2" spans="1:7" ht="14.25" customHeight="1" x14ac:dyDescent="0.3">
      <c r="A2" s="170">
        <v>1</v>
      </c>
      <c r="B2" s="171" t="s">
        <v>393</v>
      </c>
      <c r="C2" s="171" t="s">
        <v>394</v>
      </c>
      <c r="D2" s="171">
        <v>0</v>
      </c>
      <c r="E2" s="172" t="s">
        <v>151</v>
      </c>
    </row>
    <row r="3" spans="1:7" ht="14.25" customHeight="1" x14ac:dyDescent="0.3">
      <c r="A3" s="40">
        <v>2</v>
      </c>
      <c r="B3" s="175" t="s">
        <v>393</v>
      </c>
      <c r="C3" s="175" t="s">
        <v>154</v>
      </c>
      <c r="D3" s="175">
        <v>0</v>
      </c>
      <c r="E3" s="37" t="s">
        <v>151</v>
      </c>
    </row>
    <row r="4" spans="1:7" ht="14.25" customHeight="1" x14ac:dyDescent="0.3">
      <c r="A4" s="170">
        <v>3</v>
      </c>
      <c r="B4" s="175" t="s">
        <v>393</v>
      </c>
      <c r="C4" s="175" t="s">
        <v>398</v>
      </c>
      <c r="D4" s="175">
        <v>0</v>
      </c>
      <c r="E4" s="37" t="s">
        <v>151</v>
      </c>
      <c r="G4" s="209"/>
    </row>
    <row r="5" spans="1:7" ht="14.25" customHeight="1" x14ac:dyDescent="0.3">
      <c r="A5" s="40">
        <v>4</v>
      </c>
      <c r="B5" s="175" t="s">
        <v>393</v>
      </c>
      <c r="C5" s="175" t="s">
        <v>402</v>
      </c>
      <c r="D5" s="175">
        <v>0</v>
      </c>
      <c r="E5" s="37" t="s">
        <v>151</v>
      </c>
      <c r="G5" s="209"/>
    </row>
    <row r="6" spans="1:7" ht="14.25" customHeight="1" x14ac:dyDescent="0.3">
      <c r="A6" s="170">
        <v>5</v>
      </c>
      <c r="B6" s="175" t="s">
        <v>393</v>
      </c>
      <c r="C6" s="175" t="s">
        <v>343</v>
      </c>
      <c r="D6" s="175">
        <v>0</v>
      </c>
      <c r="E6" s="37" t="s">
        <v>151</v>
      </c>
      <c r="G6" s="209"/>
    </row>
    <row r="7" spans="1:7" ht="14.25" customHeight="1" x14ac:dyDescent="0.3">
      <c r="A7" s="40">
        <v>6</v>
      </c>
      <c r="B7" s="175" t="s">
        <v>393</v>
      </c>
      <c r="C7" s="175" t="s">
        <v>160</v>
      </c>
      <c r="D7" s="175">
        <v>0</v>
      </c>
      <c r="E7" s="37" t="s">
        <v>151</v>
      </c>
      <c r="G7" s="209"/>
    </row>
    <row r="8" spans="1:7" ht="14.25" customHeight="1" x14ac:dyDescent="0.3">
      <c r="A8" s="170">
        <v>7</v>
      </c>
      <c r="B8" s="175" t="s">
        <v>393</v>
      </c>
      <c r="C8" s="175" t="s">
        <v>407</v>
      </c>
      <c r="D8" s="175">
        <v>0</v>
      </c>
      <c r="E8" s="37" t="s">
        <v>151</v>
      </c>
      <c r="G8" s="209"/>
    </row>
    <row r="9" spans="1:7" ht="14.25" customHeight="1" x14ac:dyDescent="0.3">
      <c r="A9" s="40">
        <v>8</v>
      </c>
      <c r="B9" s="175" t="s">
        <v>393</v>
      </c>
      <c r="C9" s="175" t="s">
        <v>408</v>
      </c>
      <c r="D9" s="175">
        <v>0</v>
      </c>
      <c r="E9" s="37" t="s">
        <v>151</v>
      </c>
      <c r="G9" s="209"/>
    </row>
    <row r="10" spans="1:7" ht="14.25" customHeight="1" x14ac:dyDescent="0.3">
      <c r="A10" s="170">
        <v>9</v>
      </c>
      <c r="B10" s="175" t="s">
        <v>409</v>
      </c>
      <c r="C10" s="175" t="s">
        <v>394</v>
      </c>
      <c r="D10" s="175">
        <v>0</v>
      </c>
      <c r="E10" s="37" t="s">
        <v>151</v>
      </c>
      <c r="G10" s="209"/>
    </row>
    <row r="11" spans="1:7" ht="14.25" customHeight="1" x14ac:dyDescent="0.3">
      <c r="A11" s="40">
        <v>10</v>
      </c>
      <c r="B11" s="175" t="s">
        <v>409</v>
      </c>
      <c r="C11" s="175" t="s">
        <v>154</v>
      </c>
      <c r="D11" s="175">
        <v>0</v>
      </c>
      <c r="E11" s="37" t="s">
        <v>151</v>
      </c>
    </row>
    <row r="12" spans="1:7" ht="14.25" customHeight="1" x14ac:dyDescent="0.3">
      <c r="A12" s="170">
        <v>11</v>
      </c>
      <c r="B12" s="175" t="s">
        <v>409</v>
      </c>
      <c r="C12" s="175" t="s">
        <v>398</v>
      </c>
      <c r="D12" s="175">
        <v>0</v>
      </c>
      <c r="E12" s="37" t="s">
        <v>151</v>
      </c>
    </row>
    <row r="13" spans="1:7" ht="14.25" customHeight="1" x14ac:dyDescent="0.3">
      <c r="A13" s="40">
        <v>12</v>
      </c>
      <c r="B13" s="175" t="s">
        <v>409</v>
      </c>
      <c r="C13" s="175" t="s">
        <v>402</v>
      </c>
      <c r="D13" s="175">
        <v>0</v>
      </c>
      <c r="E13" s="37" t="s">
        <v>151</v>
      </c>
    </row>
    <row r="14" spans="1:7" ht="14.25" customHeight="1" x14ac:dyDescent="0.3">
      <c r="A14" s="170">
        <v>13</v>
      </c>
      <c r="B14" s="175" t="s">
        <v>409</v>
      </c>
      <c r="C14" s="175" t="s">
        <v>343</v>
      </c>
      <c r="D14" s="175">
        <v>0</v>
      </c>
      <c r="E14" s="37" t="s">
        <v>151</v>
      </c>
    </row>
    <row r="15" spans="1:7" ht="14.25" customHeight="1" x14ac:dyDescent="0.3">
      <c r="A15" s="40">
        <v>14</v>
      </c>
      <c r="B15" s="175" t="s">
        <v>409</v>
      </c>
      <c r="C15" s="175" t="s">
        <v>160</v>
      </c>
      <c r="D15" s="175">
        <v>0</v>
      </c>
      <c r="E15" s="37" t="s">
        <v>151</v>
      </c>
    </row>
    <row r="16" spans="1:7" ht="14.25" customHeight="1" x14ac:dyDescent="0.3">
      <c r="A16" s="170">
        <v>15</v>
      </c>
      <c r="B16" s="175" t="s">
        <v>409</v>
      </c>
      <c r="C16" s="175" t="s">
        <v>407</v>
      </c>
      <c r="D16" s="175">
        <v>0</v>
      </c>
      <c r="E16" s="37" t="s">
        <v>151</v>
      </c>
    </row>
    <row r="17" spans="1:5" ht="14.25" customHeight="1" x14ac:dyDescent="0.3">
      <c r="A17" s="40">
        <v>16</v>
      </c>
      <c r="B17" s="175" t="s">
        <v>409</v>
      </c>
      <c r="C17" s="175" t="s">
        <v>408</v>
      </c>
      <c r="D17" s="175">
        <v>0</v>
      </c>
      <c r="E17" s="37" t="s">
        <v>151</v>
      </c>
    </row>
    <row r="18" spans="1:5" ht="14.25" customHeight="1" x14ac:dyDescent="0.3">
      <c r="A18" s="170">
        <v>17</v>
      </c>
      <c r="B18" s="175" t="s">
        <v>138</v>
      </c>
      <c r="C18" s="175" t="s">
        <v>394</v>
      </c>
      <c r="D18" s="175">
        <v>0</v>
      </c>
      <c r="E18" s="37" t="s">
        <v>151</v>
      </c>
    </row>
    <row r="19" spans="1:5" ht="14.25" customHeight="1" x14ac:dyDescent="0.3">
      <c r="A19" s="40">
        <v>18</v>
      </c>
      <c r="B19" s="175" t="s">
        <v>138</v>
      </c>
      <c r="C19" s="175" t="s">
        <v>154</v>
      </c>
      <c r="D19" s="175">
        <v>0</v>
      </c>
      <c r="E19" s="37" t="s">
        <v>151</v>
      </c>
    </row>
    <row r="20" spans="1:5" ht="14.25" customHeight="1" x14ac:dyDescent="0.3">
      <c r="A20" s="170">
        <v>19</v>
      </c>
      <c r="B20" s="175" t="s">
        <v>138</v>
      </c>
      <c r="C20" s="175" t="s">
        <v>398</v>
      </c>
      <c r="D20" s="175">
        <v>0</v>
      </c>
      <c r="E20" s="37" t="s">
        <v>151</v>
      </c>
    </row>
    <row r="21" spans="1:5" ht="14.25" customHeight="1" x14ac:dyDescent="0.3">
      <c r="A21" s="40">
        <v>20</v>
      </c>
      <c r="B21" s="175" t="s">
        <v>138</v>
      </c>
      <c r="C21" s="175" t="s">
        <v>402</v>
      </c>
      <c r="D21" s="175">
        <v>0</v>
      </c>
      <c r="E21" s="37" t="s">
        <v>151</v>
      </c>
    </row>
    <row r="22" spans="1:5" ht="14.25" customHeight="1" x14ac:dyDescent="0.3">
      <c r="A22" s="170">
        <v>21</v>
      </c>
      <c r="B22" s="175" t="s">
        <v>138</v>
      </c>
      <c r="C22" s="175" t="s">
        <v>343</v>
      </c>
      <c r="D22" s="175">
        <v>0</v>
      </c>
      <c r="E22" s="37" t="s">
        <v>151</v>
      </c>
    </row>
    <row r="23" spans="1:5" ht="14.25" customHeight="1" x14ac:dyDescent="0.3">
      <c r="A23" s="40">
        <v>22</v>
      </c>
      <c r="B23" s="175" t="s">
        <v>138</v>
      </c>
      <c r="C23" s="175" t="s">
        <v>160</v>
      </c>
      <c r="D23" s="175">
        <v>0</v>
      </c>
      <c r="E23" s="37" t="s">
        <v>151</v>
      </c>
    </row>
    <row r="24" spans="1:5" ht="14.25" customHeight="1" x14ac:dyDescent="0.3">
      <c r="A24" s="170">
        <v>23</v>
      </c>
      <c r="B24" s="175" t="s">
        <v>138</v>
      </c>
      <c r="C24" s="175" t="s">
        <v>407</v>
      </c>
      <c r="D24" s="175">
        <v>0</v>
      </c>
      <c r="E24" s="37" t="s">
        <v>151</v>
      </c>
    </row>
    <row r="25" spans="1:5" ht="14.25" customHeight="1" x14ac:dyDescent="0.3">
      <c r="A25" s="40">
        <v>24</v>
      </c>
      <c r="B25" s="175" t="s">
        <v>138</v>
      </c>
      <c r="C25" s="175" t="s">
        <v>408</v>
      </c>
      <c r="D25" s="175">
        <v>0</v>
      </c>
      <c r="E25" s="37" t="s">
        <v>151</v>
      </c>
    </row>
    <row r="26" spans="1:5" ht="14.25" customHeight="1" x14ac:dyDescent="0.3">
      <c r="A26" s="170">
        <v>25</v>
      </c>
      <c r="B26" s="175" t="s">
        <v>155</v>
      </c>
      <c r="C26" s="175" t="s">
        <v>394</v>
      </c>
      <c r="D26" s="175">
        <v>0</v>
      </c>
      <c r="E26" s="37" t="s">
        <v>151</v>
      </c>
    </row>
    <row r="27" spans="1:5" ht="14.25" customHeight="1" x14ac:dyDescent="0.3">
      <c r="A27" s="40">
        <v>26</v>
      </c>
      <c r="B27" s="175" t="s">
        <v>155</v>
      </c>
      <c r="C27" s="175" t="s">
        <v>154</v>
      </c>
      <c r="D27" s="175">
        <v>0</v>
      </c>
      <c r="E27" s="37" t="s">
        <v>151</v>
      </c>
    </row>
    <row r="28" spans="1:5" ht="14.25" customHeight="1" x14ac:dyDescent="0.3">
      <c r="A28" s="170">
        <v>27</v>
      </c>
      <c r="B28" s="175" t="s">
        <v>155</v>
      </c>
      <c r="C28" s="175" t="s">
        <v>398</v>
      </c>
      <c r="D28" s="175">
        <v>0</v>
      </c>
      <c r="E28" s="37" t="s">
        <v>151</v>
      </c>
    </row>
    <row r="29" spans="1:5" ht="14.25" customHeight="1" x14ac:dyDescent="0.3">
      <c r="A29" s="40">
        <v>28</v>
      </c>
      <c r="B29" s="175" t="s">
        <v>155</v>
      </c>
      <c r="C29" s="175" t="s">
        <v>402</v>
      </c>
      <c r="D29" s="175">
        <v>0</v>
      </c>
      <c r="E29" s="37" t="s">
        <v>151</v>
      </c>
    </row>
    <row r="30" spans="1:5" ht="14.25" customHeight="1" x14ac:dyDescent="0.3">
      <c r="A30" s="170">
        <v>29</v>
      </c>
      <c r="B30" s="175" t="s">
        <v>155</v>
      </c>
      <c r="C30" s="175" t="s">
        <v>343</v>
      </c>
      <c r="D30" s="175">
        <v>0</v>
      </c>
      <c r="E30" s="37" t="s">
        <v>151</v>
      </c>
    </row>
    <row r="31" spans="1:5" ht="14.25" customHeight="1" x14ac:dyDescent="0.3">
      <c r="A31" s="40">
        <v>30</v>
      </c>
      <c r="B31" s="175" t="s">
        <v>155</v>
      </c>
      <c r="C31" s="175" t="s">
        <v>160</v>
      </c>
      <c r="D31" s="175">
        <v>0</v>
      </c>
      <c r="E31" s="37" t="s">
        <v>151</v>
      </c>
    </row>
    <row r="32" spans="1:5" ht="14.25" customHeight="1" x14ac:dyDescent="0.3">
      <c r="A32" s="170">
        <v>31</v>
      </c>
      <c r="B32" s="175" t="s">
        <v>155</v>
      </c>
      <c r="C32" s="175" t="s">
        <v>407</v>
      </c>
      <c r="D32" s="175">
        <v>0</v>
      </c>
      <c r="E32" s="37" t="s">
        <v>151</v>
      </c>
    </row>
    <row r="33" spans="1:5" ht="14.25" customHeight="1" x14ac:dyDescent="0.3">
      <c r="A33" s="40">
        <v>32</v>
      </c>
      <c r="B33" s="183" t="s">
        <v>155</v>
      </c>
      <c r="C33" s="183" t="s">
        <v>408</v>
      </c>
      <c r="D33" s="183">
        <v>0</v>
      </c>
      <c r="E33" s="203" t="s">
        <v>151</v>
      </c>
    </row>
    <row r="34" spans="1:5" ht="14.25" customHeight="1" x14ac:dyDescent="0.3">
      <c r="A34" s="170">
        <v>33</v>
      </c>
      <c r="B34" s="185" t="s">
        <v>421</v>
      </c>
      <c r="C34" s="185" t="s">
        <v>394</v>
      </c>
      <c r="D34" s="185" t="s">
        <v>399</v>
      </c>
      <c r="E34" s="33" t="s">
        <v>151</v>
      </c>
    </row>
    <row r="35" spans="1:5" ht="14.25" customHeight="1" x14ac:dyDescent="0.3">
      <c r="A35" s="40">
        <v>34</v>
      </c>
      <c r="B35" s="175" t="s">
        <v>421</v>
      </c>
      <c r="C35" s="175" t="s">
        <v>154</v>
      </c>
      <c r="D35" s="175" t="s">
        <v>399</v>
      </c>
      <c r="E35" s="37" t="s">
        <v>151</v>
      </c>
    </row>
    <row r="36" spans="1:5" ht="14.25" customHeight="1" x14ac:dyDescent="0.3">
      <c r="A36" s="170">
        <v>35</v>
      </c>
      <c r="B36" s="175" t="s">
        <v>421</v>
      </c>
      <c r="C36" s="175" t="s">
        <v>398</v>
      </c>
      <c r="D36" s="175" t="s">
        <v>399</v>
      </c>
      <c r="E36" s="37" t="s">
        <v>151</v>
      </c>
    </row>
    <row r="37" spans="1:5" ht="14.25" customHeight="1" x14ac:dyDescent="0.3">
      <c r="A37" s="40">
        <v>36</v>
      </c>
      <c r="B37" s="175" t="s">
        <v>421</v>
      </c>
      <c r="C37" s="175" t="s">
        <v>402</v>
      </c>
      <c r="D37" s="175" t="s">
        <v>399</v>
      </c>
      <c r="E37" s="37" t="s">
        <v>151</v>
      </c>
    </row>
    <row r="38" spans="1:5" ht="14.25" customHeight="1" x14ac:dyDescent="0.3">
      <c r="A38" s="170">
        <v>37</v>
      </c>
      <c r="B38" s="175" t="s">
        <v>421</v>
      </c>
      <c r="C38" s="175" t="s">
        <v>343</v>
      </c>
      <c r="D38" s="175" t="s">
        <v>399</v>
      </c>
      <c r="E38" s="37" t="s">
        <v>151</v>
      </c>
    </row>
    <row r="39" spans="1:5" ht="14.25" customHeight="1" x14ac:dyDescent="0.3">
      <c r="A39" s="40">
        <v>38</v>
      </c>
      <c r="B39" s="175" t="s">
        <v>421</v>
      </c>
      <c r="C39" s="175" t="s">
        <v>160</v>
      </c>
      <c r="D39" s="175" t="s">
        <v>399</v>
      </c>
      <c r="E39" s="37" t="s">
        <v>151</v>
      </c>
    </row>
    <row r="40" spans="1:5" ht="14.25" customHeight="1" x14ac:dyDescent="0.3">
      <c r="A40" s="170">
        <v>39</v>
      </c>
      <c r="B40" s="175" t="s">
        <v>421</v>
      </c>
      <c r="C40" s="175" t="s">
        <v>407</v>
      </c>
      <c r="D40" s="175" t="s">
        <v>399</v>
      </c>
      <c r="E40" s="37" t="s">
        <v>151</v>
      </c>
    </row>
    <row r="41" spans="1:5" ht="14.25" customHeight="1" x14ac:dyDescent="0.3">
      <c r="A41" s="40">
        <v>40</v>
      </c>
      <c r="B41" s="186" t="s">
        <v>421</v>
      </c>
      <c r="C41" s="186" t="s">
        <v>408</v>
      </c>
      <c r="D41" s="186" t="s">
        <v>399</v>
      </c>
      <c r="E41" s="43" t="s">
        <v>151</v>
      </c>
    </row>
    <row r="42" spans="1:5" ht="14.25" customHeight="1" x14ac:dyDescent="0.3">
      <c r="A42" s="170">
        <v>41</v>
      </c>
      <c r="B42" s="171" t="s">
        <v>393</v>
      </c>
      <c r="C42" s="171" t="s">
        <v>394</v>
      </c>
      <c r="D42" s="171">
        <v>15</v>
      </c>
      <c r="E42" s="172" t="s">
        <v>150</v>
      </c>
    </row>
    <row r="43" spans="1:5" ht="14.25" customHeight="1" x14ac:dyDescent="0.3">
      <c r="A43" s="40">
        <v>42</v>
      </c>
      <c r="B43" s="175" t="s">
        <v>393</v>
      </c>
      <c r="C43" s="175" t="s">
        <v>154</v>
      </c>
      <c r="D43" s="175">
        <v>15</v>
      </c>
      <c r="E43" s="37" t="s">
        <v>150</v>
      </c>
    </row>
    <row r="44" spans="1:5" ht="14.25" customHeight="1" x14ac:dyDescent="0.3">
      <c r="A44" s="170">
        <v>43</v>
      </c>
      <c r="B44" s="175" t="s">
        <v>393</v>
      </c>
      <c r="C44" s="175" t="s">
        <v>398</v>
      </c>
      <c r="D44" s="175">
        <v>15</v>
      </c>
      <c r="E44" s="37" t="s">
        <v>150</v>
      </c>
    </row>
    <row r="45" spans="1:5" ht="14.25" customHeight="1" x14ac:dyDescent="0.3">
      <c r="A45" s="40">
        <v>44</v>
      </c>
      <c r="B45" s="175" t="s">
        <v>393</v>
      </c>
      <c r="C45" s="175" t="s">
        <v>402</v>
      </c>
      <c r="D45" s="175">
        <v>15</v>
      </c>
      <c r="E45" s="37" t="s">
        <v>150</v>
      </c>
    </row>
    <row r="46" spans="1:5" ht="14.25" customHeight="1" x14ac:dyDescent="0.3">
      <c r="A46" s="170">
        <v>45</v>
      </c>
      <c r="B46" s="175" t="s">
        <v>393</v>
      </c>
      <c r="C46" s="175" t="s">
        <v>343</v>
      </c>
      <c r="D46" s="175">
        <v>15</v>
      </c>
      <c r="E46" s="37" t="s">
        <v>150</v>
      </c>
    </row>
    <row r="47" spans="1:5" ht="14.25" customHeight="1" x14ac:dyDescent="0.3">
      <c r="A47" s="40">
        <v>46</v>
      </c>
      <c r="B47" s="175" t="s">
        <v>393</v>
      </c>
      <c r="C47" s="175" t="s">
        <v>160</v>
      </c>
      <c r="D47" s="175">
        <v>15</v>
      </c>
      <c r="E47" s="37" t="s">
        <v>150</v>
      </c>
    </row>
    <row r="48" spans="1:5" ht="14.25" customHeight="1" x14ac:dyDescent="0.3">
      <c r="A48" s="170">
        <v>47</v>
      </c>
      <c r="B48" s="175" t="s">
        <v>393</v>
      </c>
      <c r="C48" s="175" t="s">
        <v>407</v>
      </c>
      <c r="D48" s="175">
        <v>15</v>
      </c>
      <c r="E48" s="37" t="s">
        <v>150</v>
      </c>
    </row>
    <row r="49" spans="1:5" ht="14.25" customHeight="1" x14ac:dyDescent="0.3">
      <c r="A49" s="40">
        <v>48</v>
      </c>
      <c r="B49" s="175" t="s">
        <v>393</v>
      </c>
      <c r="C49" s="175" t="s">
        <v>408</v>
      </c>
      <c r="D49" s="175">
        <v>15</v>
      </c>
      <c r="E49" s="37" t="s">
        <v>150</v>
      </c>
    </row>
    <row r="50" spans="1:5" ht="14.25" customHeight="1" x14ac:dyDescent="0.3">
      <c r="A50" s="170">
        <v>49</v>
      </c>
      <c r="B50" s="175" t="s">
        <v>409</v>
      </c>
      <c r="C50" s="175" t="s">
        <v>394</v>
      </c>
      <c r="D50" s="175">
        <v>15</v>
      </c>
      <c r="E50" s="37" t="s">
        <v>150</v>
      </c>
    </row>
    <row r="51" spans="1:5" ht="14.25" customHeight="1" x14ac:dyDescent="0.3">
      <c r="A51" s="40">
        <v>50</v>
      </c>
      <c r="B51" s="175" t="s">
        <v>409</v>
      </c>
      <c r="C51" s="175" t="s">
        <v>154</v>
      </c>
      <c r="D51" s="175">
        <v>15</v>
      </c>
      <c r="E51" s="37" t="s">
        <v>150</v>
      </c>
    </row>
    <row r="52" spans="1:5" ht="14.25" customHeight="1" x14ac:dyDescent="0.3">
      <c r="A52" s="170">
        <v>51</v>
      </c>
      <c r="B52" s="175" t="s">
        <v>409</v>
      </c>
      <c r="C52" s="175" t="s">
        <v>398</v>
      </c>
      <c r="D52" s="175">
        <v>15</v>
      </c>
      <c r="E52" s="37" t="s">
        <v>150</v>
      </c>
    </row>
    <row r="53" spans="1:5" ht="14.25" customHeight="1" x14ac:dyDescent="0.3">
      <c r="A53" s="40">
        <v>52</v>
      </c>
      <c r="B53" s="175" t="s">
        <v>409</v>
      </c>
      <c r="C53" s="175" t="s">
        <v>402</v>
      </c>
      <c r="D53" s="175">
        <v>15</v>
      </c>
      <c r="E53" s="37" t="s">
        <v>150</v>
      </c>
    </row>
    <row r="54" spans="1:5" ht="14.25" customHeight="1" x14ac:dyDescent="0.3">
      <c r="A54" s="170">
        <v>53</v>
      </c>
      <c r="B54" s="175" t="s">
        <v>409</v>
      </c>
      <c r="C54" s="175" t="s">
        <v>343</v>
      </c>
      <c r="D54" s="175">
        <v>15</v>
      </c>
      <c r="E54" s="37" t="s">
        <v>150</v>
      </c>
    </row>
    <row r="55" spans="1:5" ht="14.25" customHeight="1" x14ac:dyDescent="0.3">
      <c r="A55" s="40">
        <v>54</v>
      </c>
      <c r="B55" s="175" t="s">
        <v>409</v>
      </c>
      <c r="C55" s="175" t="s">
        <v>160</v>
      </c>
      <c r="D55" s="175">
        <v>15</v>
      </c>
      <c r="E55" s="37" t="s">
        <v>150</v>
      </c>
    </row>
    <row r="56" spans="1:5" ht="14.25" customHeight="1" x14ac:dyDescent="0.3">
      <c r="A56" s="170">
        <v>55</v>
      </c>
      <c r="B56" s="175" t="s">
        <v>409</v>
      </c>
      <c r="C56" s="175" t="s">
        <v>407</v>
      </c>
      <c r="D56" s="175">
        <v>15</v>
      </c>
      <c r="E56" s="37" t="s">
        <v>150</v>
      </c>
    </row>
    <row r="57" spans="1:5" ht="14.25" customHeight="1" x14ac:dyDescent="0.3">
      <c r="A57" s="40">
        <v>56</v>
      </c>
      <c r="B57" s="175" t="s">
        <v>409</v>
      </c>
      <c r="C57" s="175" t="s">
        <v>408</v>
      </c>
      <c r="D57" s="175">
        <v>15</v>
      </c>
      <c r="E57" s="37" t="s">
        <v>150</v>
      </c>
    </row>
    <row r="58" spans="1:5" ht="14.25" customHeight="1" x14ac:dyDescent="0.3">
      <c r="A58" s="170">
        <v>57</v>
      </c>
      <c r="B58" s="175" t="s">
        <v>138</v>
      </c>
      <c r="C58" s="175" t="s">
        <v>394</v>
      </c>
      <c r="D58" s="175">
        <v>15</v>
      </c>
      <c r="E58" s="37" t="s">
        <v>150</v>
      </c>
    </row>
    <row r="59" spans="1:5" ht="14.25" customHeight="1" x14ac:dyDescent="0.3">
      <c r="A59" s="40">
        <v>58</v>
      </c>
      <c r="B59" s="175" t="s">
        <v>138</v>
      </c>
      <c r="C59" s="175" t="s">
        <v>154</v>
      </c>
      <c r="D59" s="175">
        <v>15</v>
      </c>
      <c r="E59" s="37" t="s">
        <v>150</v>
      </c>
    </row>
    <row r="60" spans="1:5" ht="14.25" customHeight="1" x14ac:dyDescent="0.3">
      <c r="A60" s="170">
        <v>59</v>
      </c>
      <c r="B60" s="175" t="s">
        <v>138</v>
      </c>
      <c r="C60" s="175" t="s">
        <v>398</v>
      </c>
      <c r="D60" s="175">
        <v>15</v>
      </c>
      <c r="E60" s="37" t="s">
        <v>150</v>
      </c>
    </row>
    <row r="61" spans="1:5" ht="14.25" customHeight="1" x14ac:dyDescent="0.3">
      <c r="A61" s="40">
        <v>60</v>
      </c>
      <c r="B61" s="175" t="s">
        <v>138</v>
      </c>
      <c r="C61" s="175" t="s">
        <v>402</v>
      </c>
      <c r="D61" s="175">
        <v>15</v>
      </c>
      <c r="E61" s="37" t="s">
        <v>150</v>
      </c>
    </row>
    <row r="62" spans="1:5" ht="14.25" customHeight="1" x14ac:dyDescent="0.3">
      <c r="A62" s="170">
        <v>61</v>
      </c>
      <c r="B62" s="175" t="s">
        <v>138</v>
      </c>
      <c r="C62" s="175" t="s">
        <v>343</v>
      </c>
      <c r="D62" s="175">
        <v>15</v>
      </c>
      <c r="E62" s="37" t="s">
        <v>150</v>
      </c>
    </row>
    <row r="63" spans="1:5" ht="14.25" customHeight="1" x14ac:dyDescent="0.3">
      <c r="A63" s="40">
        <v>62</v>
      </c>
      <c r="B63" s="175" t="s">
        <v>138</v>
      </c>
      <c r="C63" s="175" t="s">
        <v>160</v>
      </c>
      <c r="D63" s="175">
        <v>15</v>
      </c>
      <c r="E63" s="37" t="s">
        <v>150</v>
      </c>
    </row>
    <row r="64" spans="1:5" ht="14.25" customHeight="1" x14ac:dyDescent="0.3">
      <c r="A64" s="170">
        <v>63</v>
      </c>
      <c r="B64" s="175" t="s">
        <v>138</v>
      </c>
      <c r="C64" s="175" t="s">
        <v>407</v>
      </c>
      <c r="D64" s="175">
        <v>15</v>
      </c>
      <c r="E64" s="37" t="s">
        <v>150</v>
      </c>
    </row>
    <row r="65" spans="1:5" ht="14.25" customHeight="1" x14ac:dyDescent="0.3">
      <c r="A65" s="40">
        <v>64</v>
      </c>
      <c r="B65" s="175" t="s">
        <v>138</v>
      </c>
      <c r="C65" s="175" t="s">
        <v>408</v>
      </c>
      <c r="D65" s="175">
        <v>15</v>
      </c>
      <c r="E65" s="37" t="s">
        <v>150</v>
      </c>
    </row>
    <row r="66" spans="1:5" ht="14.25" customHeight="1" x14ac:dyDescent="0.3">
      <c r="A66" s="170">
        <v>65</v>
      </c>
      <c r="B66" s="175" t="s">
        <v>155</v>
      </c>
      <c r="C66" s="175" t="s">
        <v>394</v>
      </c>
      <c r="D66" s="175">
        <v>15</v>
      </c>
      <c r="E66" s="37" t="s">
        <v>150</v>
      </c>
    </row>
    <row r="67" spans="1:5" ht="14.25" customHeight="1" x14ac:dyDescent="0.3">
      <c r="A67" s="40">
        <v>66</v>
      </c>
      <c r="B67" s="175" t="s">
        <v>155</v>
      </c>
      <c r="C67" s="175" t="s">
        <v>154</v>
      </c>
      <c r="D67" s="175">
        <v>15</v>
      </c>
      <c r="E67" s="37" t="s">
        <v>150</v>
      </c>
    </row>
    <row r="68" spans="1:5" ht="14.25" customHeight="1" x14ac:dyDescent="0.3">
      <c r="A68" s="170">
        <v>67</v>
      </c>
      <c r="B68" s="175" t="s">
        <v>155</v>
      </c>
      <c r="C68" s="175" t="s">
        <v>398</v>
      </c>
      <c r="D68" s="175">
        <v>15</v>
      </c>
      <c r="E68" s="37" t="s">
        <v>150</v>
      </c>
    </row>
    <row r="69" spans="1:5" ht="14.25" customHeight="1" x14ac:dyDescent="0.3">
      <c r="A69" s="40">
        <v>68</v>
      </c>
      <c r="B69" s="175" t="s">
        <v>155</v>
      </c>
      <c r="C69" s="175" t="s">
        <v>402</v>
      </c>
      <c r="D69" s="175">
        <v>15</v>
      </c>
      <c r="E69" s="37" t="s">
        <v>150</v>
      </c>
    </row>
    <row r="70" spans="1:5" ht="14.25" customHeight="1" x14ac:dyDescent="0.3">
      <c r="A70" s="170">
        <v>69</v>
      </c>
      <c r="B70" s="175" t="s">
        <v>155</v>
      </c>
      <c r="C70" s="175" t="s">
        <v>343</v>
      </c>
      <c r="D70" s="175">
        <v>15</v>
      </c>
      <c r="E70" s="37" t="s">
        <v>150</v>
      </c>
    </row>
    <row r="71" spans="1:5" ht="14.25" customHeight="1" x14ac:dyDescent="0.3">
      <c r="A71" s="40">
        <v>70</v>
      </c>
      <c r="B71" s="175" t="s">
        <v>155</v>
      </c>
      <c r="C71" s="175" t="s">
        <v>160</v>
      </c>
      <c r="D71" s="175">
        <v>15</v>
      </c>
      <c r="E71" s="37" t="s">
        <v>150</v>
      </c>
    </row>
    <row r="72" spans="1:5" ht="14.25" customHeight="1" x14ac:dyDescent="0.3">
      <c r="A72" s="170">
        <v>71</v>
      </c>
      <c r="B72" s="175" t="s">
        <v>155</v>
      </c>
      <c r="C72" s="175" t="s">
        <v>407</v>
      </c>
      <c r="D72" s="175">
        <v>15</v>
      </c>
      <c r="E72" s="37" t="s">
        <v>150</v>
      </c>
    </row>
    <row r="73" spans="1:5" ht="14.25" customHeight="1" x14ac:dyDescent="0.3">
      <c r="A73" s="40">
        <v>72</v>
      </c>
      <c r="B73" s="183" t="s">
        <v>155</v>
      </c>
      <c r="C73" s="183" t="s">
        <v>408</v>
      </c>
      <c r="D73" s="183">
        <v>15</v>
      </c>
      <c r="E73" s="203" t="s">
        <v>150</v>
      </c>
    </row>
    <row r="74" spans="1:5" ht="14.25" customHeight="1" x14ac:dyDescent="0.3">
      <c r="A74" s="170">
        <v>73</v>
      </c>
      <c r="B74" s="185" t="s">
        <v>421</v>
      </c>
      <c r="C74" s="307" t="s">
        <v>394</v>
      </c>
      <c r="D74" s="308" t="s">
        <v>399</v>
      </c>
      <c r="E74" s="309" t="s">
        <v>151</v>
      </c>
    </row>
    <row r="75" spans="1:5" ht="14.25" customHeight="1" x14ac:dyDescent="0.3">
      <c r="A75" s="40">
        <v>74</v>
      </c>
      <c r="B75" s="175" t="s">
        <v>421</v>
      </c>
      <c r="C75" s="264" t="s">
        <v>154</v>
      </c>
      <c r="D75" s="14" t="s">
        <v>399</v>
      </c>
      <c r="E75" s="20" t="s">
        <v>151</v>
      </c>
    </row>
    <row r="76" spans="1:5" ht="14.25" customHeight="1" x14ac:dyDescent="0.3">
      <c r="A76" s="170">
        <v>75</v>
      </c>
      <c r="B76" s="175" t="s">
        <v>421</v>
      </c>
      <c r="C76" s="264" t="s">
        <v>398</v>
      </c>
      <c r="D76" s="14" t="s">
        <v>399</v>
      </c>
      <c r="E76" s="20" t="s">
        <v>151</v>
      </c>
    </row>
    <row r="77" spans="1:5" ht="14.25" customHeight="1" x14ac:dyDescent="0.3">
      <c r="A77" s="40">
        <v>76</v>
      </c>
      <c r="B77" s="175" t="s">
        <v>421</v>
      </c>
      <c r="C77" s="264" t="s">
        <v>402</v>
      </c>
      <c r="D77" s="14" t="s">
        <v>399</v>
      </c>
      <c r="E77" s="20" t="s">
        <v>151</v>
      </c>
    </row>
    <row r="78" spans="1:5" ht="14.25" customHeight="1" x14ac:dyDescent="0.3">
      <c r="A78" s="170">
        <v>77</v>
      </c>
      <c r="B78" s="175" t="s">
        <v>421</v>
      </c>
      <c r="C78" s="264" t="s">
        <v>343</v>
      </c>
      <c r="D78" s="14" t="s">
        <v>399</v>
      </c>
      <c r="E78" s="20" t="s">
        <v>151</v>
      </c>
    </row>
    <row r="79" spans="1:5" ht="14.25" customHeight="1" x14ac:dyDescent="0.3">
      <c r="A79" s="40">
        <v>78</v>
      </c>
      <c r="B79" s="175" t="s">
        <v>421</v>
      </c>
      <c r="C79" s="264" t="s">
        <v>160</v>
      </c>
      <c r="D79" s="14" t="s">
        <v>399</v>
      </c>
      <c r="E79" s="20" t="s">
        <v>151</v>
      </c>
    </row>
    <row r="80" spans="1:5" ht="14.25" customHeight="1" x14ac:dyDescent="0.3">
      <c r="A80" s="170">
        <v>79</v>
      </c>
      <c r="B80" s="175" t="s">
        <v>421</v>
      </c>
      <c r="C80" s="264" t="s">
        <v>407</v>
      </c>
      <c r="D80" s="14" t="s">
        <v>399</v>
      </c>
      <c r="E80" s="20" t="s">
        <v>151</v>
      </c>
    </row>
    <row r="81" spans="1:5" ht="14.25" customHeight="1" x14ac:dyDescent="0.3">
      <c r="A81" s="40">
        <v>80</v>
      </c>
      <c r="B81" s="186" t="s">
        <v>421</v>
      </c>
      <c r="C81" s="310" t="s">
        <v>408</v>
      </c>
      <c r="D81" s="311" t="s">
        <v>399</v>
      </c>
      <c r="E81" s="111" t="s">
        <v>151</v>
      </c>
    </row>
    <row r="82" spans="1:5" ht="14.25" customHeight="1" x14ac:dyDescent="0.3"/>
    <row r="83" spans="1:5" ht="14.25" customHeight="1" x14ac:dyDescent="0.3"/>
    <row r="84" spans="1:5" ht="14.25" customHeight="1" x14ac:dyDescent="0.3"/>
    <row r="85" spans="1:5" ht="14.25" customHeight="1" x14ac:dyDescent="0.3"/>
    <row r="86" spans="1:5" ht="14.25" customHeight="1" x14ac:dyDescent="0.3"/>
    <row r="87" spans="1:5" ht="14.25" customHeight="1" x14ac:dyDescent="0.3"/>
    <row r="88" spans="1:5" ht="14.25" customHeight="1" x14ac:dyDescent="0.3"/>
    <row r="89" spans="1:5" ht="14.25" customHeight="1" x14ac:dyDescent="0.3"/>
    <row r="90" spans="1:5" ht="14.25" customHeight="1" x14ac:dyDescent="0.3"/>
    <row r="91" spans="1:5" ht="14.25" customHeight="1" x14ac:dyDescent="0.3"/>
    <row r="92" spans="1:5" ht="14.25" customHeight="1" x14ac:dyDescent="0.3"/>
    <row r="93" spans="1:5" ht="14.25" customHeight="1" x14ac:dyDescent="0.3"/>
    <row r="94" spans="1:5" ht="14.25" customHeight="1" x14ac:dyDescent="0.3"/>
    <row r="95" spans="1:5" ht="14.25" customHeight="1" x14ac:dyDescent="0.3"/>
    <row r="96" spans="1:5"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Hoja10"/>
  <dimension ref="A1:AD1000"/>
  <sheetViews>
    <sheetView workbookViewId="0"/>
  </sheetViews>
  <sheetFormatPr baseColWidth="10" defaultColWidth="14.44140625" defaultRowHeight="15" customHeight="1" x14ac:dyDescent="0.3"/>
  <cols>
    <col min="1" max="1" width="24" customWidth="1"/>
    <col min="2" max="2" width="17.5546875" customWidth="1"/>
    <col min="3" max="3" width="10.6640625" customWidth="1"/>
    <col min="4" max="4" width="16.33203125" customWidth="1"/>
    <col min="5" max="5" width="13.6640625" customWidth="1"/>
    <col min="6" max="6" width="10.6640625" customWidth="1"/>
    <col min="7" max="7" width="18.5546875" customWidth="1"/>
    <col min="8" max="8" width="15.6640625" customWidth="1"/>
    <col min="9" max="9" width="16.33203125" customWidth="1"/>
    <col min="10" max="10" width="76.109375" customWidth="1"/>
    <col min="11" max="13" width="85.88671875" customWidth="1"/>
    <col min="14" max="30" width="10.6640625" customWidth="1"/>
  </cols>
  <sheetData>
    <row r="1" spans="1:30" ht="14.25" customHeight="1" x14ac:dyDescent="0.3">
      <c r="A1" s="228" t="s">
        <v>726</v>
      </c>
      <c r="J1" s="152" t="s">
        <v>652</v>
      </c>
    </row>
    <row r="2" spans="1:30" ht="33.75" customHeight="1" x14ac:dyDescent="0.3">
      <c r="A2" s="167" t="s">
        <v>385</v>
      </c>
      <c r="B2" s="168" t="s">
        <v>386</v>
      </c>
      <c r="C2" s="168" t="s">
        <v>387</v>
      </c>
      <c r="D2" s="168" t="s">
        <v>647</v>
      </c>
      <c r="E2" s="168" t="s">
        <v>648</v>
      </c>
      <c r="F2" s="169" t="s">
        <v>649</v>
      </c>
      <c r="J2" s="158" t="s">
        <v>655</v>
      </c>
    </row>
    <row r="3" spans="1:30" ht="14.25" customHeight="1" x14ac:dyDescent="0.3">
      <c r="A3" s="170">
        <v>1</v>
      </c>
      <c r="B3" s="171" t="s">
        <v>393</v>
      </c>
      <c r="C3" s="171" t="s">
        <v>394</v>
      </c>
      <c r="D3" s="171" t="s">
        <v>187</v>
      </c>
      <c r="E3" s="171">
        <v>0</v>
      </c>
      <c r="F3" s="172" t="s">
        <v>151</v>
      </c>
    </row>
    <row r="4" spans="1:30" ht="119.25" customHeight="1" x14ac:dyDescent="0.3">
      <c r="A4" s="40">
        <v>2</v>
      </c>
      <c r="B4" s="175" t="s">
        <v>393</v>
      </c>
      <c r="C4" s="175" t="s">
        <v>154</v>
      </c>
      <c r="D4" s="171" t="s">
        <v>187</v>
      </c>
      <c r="E4" s="175">
        <v>0</v>
      </c>
      <c r="F4" s="37" t="s">
        <v>151</v>
      </c>
      <c r="J4" s="120" t="s">
        <v>727</v>
      </c>
      <c r="L4" s="267"/>
      <c r="M4" s="267"/>
      <c r="N4" s="267"/>
      <c r="O4" s="267"/>
      <c r="P4" s="267"/>
      <c r="Q4" s="267"/>
      <c r="R4" s="267"/>
      <c r="S4" s="267"/>
      <c r="T4" s="267"/>
      <c r="U4" s="267"/>
      <c r="V4" s="267"/>
      <c r="W4" s="267"/>
      <c r="X4" s="267"/>
      <c r="Y4" s="267"/>
      <c r="Z4" s="267"/>
      <c r="AA4" s="267"/>
      <c r="AB4" s="267"/>
      <c r="AC4" s="267"/>
      <c r="AD4" s="267"/>
    </row>
    <row r="5" spans="1:30" ht="27" customHeight="1" x14ac:dyDescent="0.3">
      <c r="A5" s="40">
        <v>3</v>
      </c>
      <c r="B5" s="175" t="s">
        <v>393</v>
      </c>
      <c r="C5" s="175" t="s">
        <v>398</v>
      </c>
      <c r="D5" s="171" t="s">
        <v>187</v>
      </c>
      <c r="E5" s="175">
        <v>500</v>
      </c>
      <c r="F5" s="37" t="s">
        <v>150</v>
      </c>
      <c r="K5" s="267"/>
    </row>
    <row r="6" spans="1:30" ht="33.75" customHeight="1" x14ac:dyDescent="0.3">
      <c r="A6" s="40">
        <v>4</v>
      </c>
      <c r="B6" s="175" t="s">
        <v>393</v>
      </c>
      <c r="C6" s="175" t="s">
        <v>402</v>
      </c>
      <c r="D6" s="171" t="s">
        <v>187</v>
      </c>
      <c r="E6" s="175">
        <v>500</v>
      </c>
      <c r="F6" s="37" t="s">
        <v>153</v>
      </c>
      <c r="J6" s="120" t="s">
        <v>728</v>
      </c>
      <c r="K6" s="312"/>
    </row>
    <row r="7" spans="1:30" ht="14.25" customHeight="1" x14ac:dyDescent="0.3">
      <c r="A7" s="40">
        <v>5</v>
      </c>
      <c r="B7" s="175" t="s">
        <v>393</v>
      </c>
      <c r="C7" s="175" t="s">
        <v>343</v>
      </c>
      <c r="D7" s="171" t="s">
        <v>187</v>
      </c>
      <c r="E7" s="175">
        <v>500</v>
      </c>
      <c r="F7" s="37" t="s">
        <v>150</v>
      </c>
    </row>
    <row r="8" spans="1:30" ht="11.25" customHeight="1" x14ac:dyDescent="0.3">
      <c r="A8" s="40">
        <v>6</v>
      </c>
      <c r="B8" s="175" t="s">
        <v>393</v>
      </c>
      <c r="C8" s="175" t="s">
        <v>160</v>
      </c>
      <c r="D8" s="171" t="s">
        <v>187</v>
      </c>
      <c r="E8" s="175">
        <v>500</v>
      </c>
      <c r="F8" s="37" t="s">
        <v>150</v>
      </c>
    </row>
    <row r="9" spans="1:30" ht="22.5" customHeight="1" x14ac:dyDescent="0.3">
      <c r="A9" s="40">
        <v>7</v>
      </c>
      <c r="B9" s="175" t="s">
        <v>393</v>
      </c>
      <c r="C9" s="175" t="s">
        <v>407</v>
      </c>
      <c r="D9" s="171" t="s">
        <v>187</v>
      </c>
      <c r="E9" s="175">
        <v>500</v>
      </c>
      <c r="F9" s="37" t="s">
        <v>150</v>
      </c>
    </row>
    <row r="10" spans="1:30" ht="23.25" customHeight="1" x14ac:dyDescent="0.3">
      <c r="A10" s="40">
        <v>8</v>
      </c>
      <c r="B10" s="175" t="s">
        <v>393</v>
      </c>
      <c r="C10" s="175" t="s">
        <v>408</v>
      </c>
      <c r="D10" s="171" t="s">
        <v>187</v>
      </c>
      <c r="E10" s="175">
        <v>500</v>
      </c>
      <c r="F10" s="37" t="s">
        <v>150</v>
      </c>
    </row>
    <row r="11" spans="1:30" ht="12" customHeight="1" x14ac:dyDescent="0.3">
      <c r="A11" s="40">
        <v>9</v>
      </c>
      <c r="B11" s="175" t="s">
        <v>409</v>
      </c>
      <c r="C11" s="175" t="s">
        <v>394</v>
      </c>
      <c r="D11" s="171" t="s">
        <v>187</v>
      </c>
      <c r="E11" s="175">
        <v>0</v>
      </c>
      <c r="F11" s="37" t="s">
        <v>151</v>
      </c>
    </row>
    <row r="12" spans="1:30" ht="15" customHeight="1" x14ac:dyDescent="0.3">
      <c r="A12" s="40">
        <v>10</v>
      </c>
      <c r="B12" s="175" t="s">
        <v>409</v>
      </c>
      <c r="C12" s="175" t="s">
        <v>154</v>
      </c>
      <c r="D12" s="171" t="s">
        <v>187</v>
      </c>
      <c r="E12" s="175">
        <v>0</v>
      </c>
      <c r="F12" s="37" t="s">
        <v>151</v>
      </c>
    </row>
    <row r="13" spans="1:30" ht="16.5" customHeight="1" x14ac:dyDescent="0.3">
      <c r="A13" s="40">
        <v>11</v>
      </c>
      <c r="B13" s="175" t="s">
        <v>409</v>
      </c>
      <c r="C13" s="175" t="s">
        <v>398</v>
      </c>
      <c r="D13" s="171" t="s">
        <v>187</v>
      </c>
      <c r="E13" s="175">
        <v>1500</v>
      </c>
      <c r="F13" s="37" t="s">
        <v>150</v>
      </c>
    </row>
    <row r="14" spans="1:30" ht="24" customHeight="1" x14ac:dyDescent="0.3">
      <c r="A14" s="40">
        <v>12</v>
      </c>
      <c r="B14" s="175" t="s">
        <v>409</v>
      </c>
      <c r="C14" s="175" t="s">
        <v>402</v>
      </c>
      <c r="D14" s="171" t="s">
        <v>187</v>
      </c>
      <c r="E14" s="175">
        <v>1500</v>
      </c>
      <c r="F14" s="37" t="s">
        <v>153</v>
      </c>
    </row>
    <row r="15" spans="1:30" ht="14.25" customHeight="1" x14ac:dyDescent="0.3">
      <c r="A15" s="40">
        <v>13</v>
      </c>
      <c r="B15" s="175" t="s">
        <v>409</v>
      </c>
      <c r="C15" s="175" t="s">
        <v>343</v>
      </c>
      <c r="D15" s="171" t="s">
        <v>187</v>
      </c>
      <c r="E15" s="175">
        <v>1500</v>
      </c>
      <c r="F15" s="37" t="s">
        <v>150</v>
      </c>
    </row>
    <row r="16" spans="1:30" ht="68.25" customHeight="1" x14ac:dyDescent="0.3">
      <c r="A16" s="40">
        <v>14</v>
      </c>
      <c r="B16" s="175" t="s">
        <v>409</v>
      </c>
      <c r="C16" s="175" t="s">
        <v>160</v>
      </c>
      <c r="D16" s="171" t="s">
        <v>187</v>
      </c>
      <c r="E16" s="175">
        <v>750</v>
      </c>
      <c r="F16" s="37" t="s">
        <v>150</v>
      </c>
    </row>
    <row r="17" spans="1:10" ht="14.25" customHeight="1" x14ac:dyDescent="0.3">
      <c r="A17" s="40">
        <v>15</v>
      </c>
      <c r="B17" s="175" t="s">
        <v>409</v>
      </c>
      <c r="C17" s="175" t="s">
        <v>407</v>
      </c>
      <c r="D17" s="171" t="s">
        <v>187</v>
      </c>
      <c r="E17" s="175">
        <v>750</v>
      </c>
      <c r="F17" s="37" t="s">
        <v>150</v>
      </c>
      <c r="J17" s="152" t="s">
        <v>729</v>
      </c>
    </row>
    <row r="18" spans="1:10" ht="14.25" customHeight="1" x14ac:dyDescent="0.3">
      <c r="A18" s="40">
        <v>16</v>
      </c>
      <c r="B18" s="175" t="s">
        <v>409</v>
      </c>
      <c r="C18" s="175" t="s">
        <v>408</v>
      </c>
      <c r="D18" s="171" t="s">
        <v>187</v>
      </c>
      <c r="E18" s="175">
        <v>750</v>
      </c>
      <c r="F18" s="37" t="s">
        <v>150</v>
      </c>
      <c r="J18" s="158" t="s">
        <v>730</v>
      </c>
    </row>
    <row r="19" spans="1:10" ht="14.25" customHeight="1" x14ac:dyDescent="0.3">
      <c r="A19" s="40">
        <v>17</v>
      </c>
      <c r="B19" s="175" t="s">
        <v>138</v>
      </c>
      <c r="C19" s="175" t="s">
        <v>394</v>
      </c>
      <c r="D19" s="171" t="s">
        <v>187</v>
      </c>
      <c r="E19" s="175">
        <v>0</v>
      </c>
      <c r="F19" s="37" t="s">
        <v>151</v>
      </c>
    </row>
    <row r="20" spans="1:10" ht="14.25" customHeight="1" x14ac:dyDescent="0.3">
      <c r="A20" s="40">
        <v>18</v>
      </c>
      <c r="B20" s="175" t="s">
        <v>138</v>
      </c>
      <c r="C20" s="175" t="s">
        <v>154</v>
      </c>
      <c r="D20" s="171" t="s">
        <v>187</v>
      </c>
      <c r="E20" s="175">
        <v>0</v>
      </c>
      <c r="F20" s="37" t="s">
        <v>151</v>
      </c>
      <c r="J20" s="152" t="s">
        <v>731</v>
      </c>
    </row>
    <row r="21" spans="1:10" ht="14.25" customHeight="1" x14ac:dyDescent="0.3">
      <c r="A21" s="40">
        <v>19</v>
      </c>
      <c r="B21" s="175" t="s">
        <v>138</v>
      </c>
      <c r="C21" s="175" t="s">
        <v>398</v>
      </c>
      <c r="D21" s="171" t="s">
        <v>187</v>
      </c>
      <c r="E21" s="175">
        <v>2500</v>
      </c>
      <c r="F21" s="37" t="s">
        <v>150</v>
      </c>
      <c r="J21" s="255" t="s">
        <v>732</v>
      </c>
    </row>
    <row r="22" spans="1:10" ht="14.25" customHeight="1" x14ac:dyDescent="0.3">
      <c r="A22" s="40">
        <v>20</v>
      </c>
      <c r="B22" s="175" t="s">
        <v>138</v>
      </c>
      <c r="C22" s="175" t="s">
        <v>402</v>
      </c>
      <c r="D22" s="171" t="s">
        <v>187</v>
      </c>
      <c r="E22" s="175">
        <v>2500</v>
      </c>
      <c r="F22" s="37" t="s">
        <v>153</v>
      </c>
      <c r="J22" s="313" t="s">
        <v>733</v>
      </c>
    </row>
    <row r="23" spans="1:10" ht="14.25" customHeight="1" x14ac:dyDescent="0.3">
      <c r="A23" s="40">
        <v>21</v>
      </c>
      <c r="B23" s="175" t="s">
        <v>138</v>
      </c>
      <c r="C23" s="175" t="s">
        <v>343</v>
      </c>
      <c r="D23" s="171" t="s">
        <v>187</v>
      </c>
      <c r="E23" s="175">
        <v>2500</v>
      </c>
      <c r="F23" s="37" t="s">
        <v>150</v>
      </c>
    </row>
    <row r="24" spans="1:10" ht="14.25" customHeight="1" x14ac:dyDescent="0.3">
      <c r="A24" s="40">
        <v>22</v>
      </c>
      <c r="B24" s="175" t="s">
        <v>138</v>
      </c>
      <c r="C24" s="175" t="s">
        <v>160</v>
      </c>
      <c r="D24" s="171" t="s">
        <v>187</v>
      </c>
      <c r="E24" s="175">
        <v>1000</v>
      </c>
      <c r="F24" s="37" t="s">
        <v>150</v>
      </c>
      <c r="J24" s="152" t="s">
        <v>734</v>
      </c>
    </row>
    <row r="25" spans="1:10" ht="14.25" customHeight="1" x14ac:dyDescent="0.3">
      <c r="A25" s="40">
        <v>23</v>
      </c>
      <c r="B25" s="175" t="s">
        <v>138</v>
      </c>
      <c r="C25" s="175" t="s">
        <v>407</v>
      </c>
      <c r="D25" s="171" t="s">
        <v>187</v>
      </c>
      <c r="E25" s="175">
        <v>1000</v>
      </c>
      <c r="F25" s="37" t="s">
        <v>150</v>
      </c>
      <c r="J25" s="255" t="s">
        <v>735</v>
      </c>
    </row>
    <row r="26" spans="1:10" ht="14.25" customHeight="1" x14ac:dyDescent="0.3">
      <c r="A26" s="40">
        <v>24</v>
      </c>
      <c r="B26" s="175" t="s">
        <v>138</v>
      </c>
      <c r="C26" s="175" t="s">
        <v>408</v>
      </c>
      <c r="D26" s="171" t="s">
        <v>187</v>
      </c>
      <c r="E26" s="175">
        <v>1000</v>
      </c>
      <c r="F26" s="37" t="s">
        <v>150</v>
      </c>
      <c r="J26" s="232" t="s">
        <v>736</v>
      </c>
    </row>
    <row r="27" spans="1:10" ht="14.25" customHeight="1" x14ac:dyDescent="0.3">
      <c r="A27" s="40">
        <v>25</v>
      </c>
      <c r="B27" s="175" t="s">
        <v>155</v>
      </c>
      <c r="C27" s="175" t="s">
        <v>394</v>
      </c>
      <c r="D27" s="171" t="s">
        <v>187</v>
      </c>
      <c r="E27" s="175">
        <v>0</v>
      </c>
      <c r="F27" s="37" t="s">
        <v>151</v>
      </c>
    </row>
    <row r="28" spans="1:10" ht="14.25" customHeight="1" x14ac:dyDescent="0.3">
      <c r="A28" s="40">
        <v>26</v>
      </c>
      <c r="B28" s="175" t="s">
        <v>155</v>
      </c>
      <c r="C28" s="175" t="s">
        <v>154</v>
      </c>
      <c r="D28" s="171" t="s">
        <v>187</v>
      </c>
      <c r="E28" s="175">
        <v>0</v>
      </c>
      <c r="F28" s="37" t="s">
        <v>151</v>
      </c>
      <c r="J28" s="314" t="s">
        <v>737</v>
      </c>
    </row>
    <row r="29" spans="1:10" ht="14.25" customHeight="1" x14ac:dyDescent="0.3">
      <c r="A29" s="40">
        <v>27</v>
      </c>
      <c r="B29" s="175" t="s">
        <v>155</v>
      </c>
      <c r="C29" s="175" t="s">
        <v>398</v>
      </c>
      <c r="D29" s="171" t="s">
        <v>187</v>
      </c>
      <c r="E29" s="175">
        <v>1000</v>
      </c>
      <c r="F29" s="37" t="s">
        <v>150</v>
      </c>
      <c r="J29" s="315" t="s">
        <v>738</v>
      </c>
    </row>
    <row r="30" spans="1:10" ht="14.25" customHeight="1" x14ac:dyDescent="0.3">
      <c r="A30" s="40">
        <v>28</v>
      </c>
      <c r="B30" s="175" t="s">
        <v>155</v>
      </c>
      <c r="C30" s="175" t="s">
        <v>402</v>
      </c>
      <c r="D30" s="171" t="s">
        <v>187</v>
      </c>
      <c r="E30" s="175">
        <v>1000</v>
      </c>
      <c r="F30" s="37" t="s">
        <v>150</v>
      </c>
      <c r="J30" s="232" t="s">
        <v>739</v>
      </c>
    </row>
    <row r="31" spans="1:10" ht="14.25" customHeight="1" x14ac:dyDescent="0.3">
      <c r="A31" s="40">
        <v>29</v>
      </c>
      <c r="B31" s="175" t="s">
        <v>155</v>
      </c>
      <c r="C31" s="175" t="s">
        <v>343</v>
      </c>
      <c r="D31" s="171" t="s">
        <v>187</v>
      </c>
      <c r="E31" s="175">
        <v>1000</v>
      </c>
      <c r="F31" s="37" t="s">
        <v>150</v>
      </c>
    </row>
    <row r="32" spans="1:10" ht="14.25" customHeight="1" x14ac:dyDescent="0.3">
      <c r="A32" s="40">
        <v>30</v>
      </c>
      <c r="B32" s="175" t="s">
        <v>155</v>
      </c>
      <c r="C32" s="175" t="s">
        <v>160</v>
      </c>
      <c r="D32" s="171" t="s">
        <v>187</v>
      </c>
      <c r="E32" s="175">
        <v>600</v>
      </c>
      <c r="F32" s="37" t="s">
        <v>150</v>
      </c>
    </row>
    <row r="33" spans="1:10" ht="14.25" customHeight="1" x14ac:dyDescent="0.3">
      <c r="A33" s="40">
        <v>31</v>
      </c>
      <c r="B33" s="175" t="s">
        <v>155</v>
      </c>
      <c r="C33" s="175" t="s">
        <v>407</v>
      </c>
      <c r="D33" s="171" t="s">
        <v>187</v>
      </c>
      <c r="E33" s="175">
        <v>600</v>
      </c>
      <c r="F33" s="37" t="s">
        <v>150</v>
      </c>
    </row>
    <row r="34" spans="1:10" ht="14.25" customHeight="1" x14ac:dyDescent="0.3">
      <c r="A34" s="182">
        <v>32</v>
      </c>
      <c r="B34" s="183" t="s">
        <v>155</v>
      </c>
      <c r="C34" s="183" t="s">
        <v>408</v>
      </c>
      <c r="D34" s="316" t="s">
        <v>187</v>
      </c>
      <c r="E34" s="183">
        <v>600</v>
      </c>
      <c r="F34" s="203" t="s">
        <v>150</v>
      </c>
    </row>
    <row r="35" spans="1:10" ht="14.25" customHeight="1" x14ac:dyDescent="0.3">
      <c r="A35" s="317">
        <v>33</v>
      </c>
      <c r="B35" s="318" t="s">
        <v>421</v>
      </c>
      <c r="C35" s="318" t="s">
        <v>394</v>
      </c>
      <c r="D35" s="318" t="s">
        <v>187</v>
      </c>
      <c r="E35" s="318" t="s">
        <v>399</v>
      </c>
      <c r="F35" s="319" t="s">
        <v>151</v>
      </c>
    </row>
    <row r="36" spans="1:10" ht="14.25" customHeight="1" x14ac:dyDescent="0.3">
      <c r="A36" s="40">
        <v>34</v>
      </c>
      <c r="B36" s="175" t="s">
        <v>421</v>
      </c>
      <c r="C36" s="175" t="s">
        <v>154</v>
      </c>
      <c r="D36" s="175" t="s">
        <v>187</v>
      </c>
      <c r="E36" s="175" t="s">
        <v>399</v>
      </c>
      <c r="F36" s="37" t="s">
        <v>151</v>
      </c>
      <c r="J36" s="253" t="s">
        <v>740</v>
      </c>
    </row>
    <row r="37" spans="1:10" ht="14.25" customHeight="1" x14ac:dyDescent="0.3">
      <c r="A37" s="40">
        <v>35</v>
      </c>
      <c r="B37" s="175" t="s">
        <v>421</v>
      </c>
      <c r="C37" s="175" t="s">
        <v>398</v>
      </c>
      <c r="D37" s="175" t="s">
        <v>187</v>
      </c>
      <c r="E37" s="175" t="s">
        <v>399</v>
      </c>
      <c r="F37" s="37" t="s">
        <v>151</v>
      </c>
    </row>
    <row r="38" spans="1:10" ht="14.25" customHeight="1" x14ac:dyDescent="0.3">
      <c r="A38" s="40">
        <v>36</v>
      </c>
      <c r="B38" s="175" t="s">
        <v>421</v>
      </c>
      <c r="C38" s="175" t="s">
        <v>402</v>
      </c>
      <c r="D38" s="175" t="s">
        <v>187</v>
      </c>
      <c r="E38" s="175" t="s">
        <v>399</v>
      </c>
      <c r="F38" s="37" t="s">
        <v>151</v>
      </c>
    </row>
    <row r="39" spans="1:10" ht="14.25" customHeight="1" x14ac:dyDescent="0.3">
      <c r="A39" s="40">
        <v>37</v>
      </c>
      <c r="B39" s="175" t="s">
        <v>421</v>
      </c>
      <c r="C39" s="175" t="s">
        <v>343</v>
      </c>
      <c r="D39" s="175" t="s">
        <v>187</v>
      </c>
      <c r="E39" s="175" t="s">
        <v>399</v>
      </c>
      <c r="F39" s="37" t="s">
        <v>151</v>
      </c>
    </row>
    <row r="40" spans="1:10" ht="14.25" customHeight="1" x14ac:dyDescent="0.3">
      <c r="A40" s="182">
        <v>38</v>
      </c>
      <c r="B40" s="175" t="s">
        <v>421</v>
      </c>
      <c r="C40" s="175" t="s">
        <v>160</v>
      </c>
      <c r="D40" s="171" t="s">
        <v>187</v>
      </c>
      <c r="E40" s="175" t="s">
        <v>399</v>
      </c>
      <c r="F40" s="37" t="s">
        <v>151</v>
      </c>
    </row>
    <row r="41" spans="1:10" ht="14.25" customHeight="1" x14ac:dyDescent="0.3">
      <c r="A41" s="40">
        <v>39</v>
      </c>
      <c r="B41" s="175" t="s">
        <v>421</v>
      </c>
      <c r="C41" s="175" t="s">
        <v>407</v>
      </c>
      <c r="D41" s="171" t="s">
        <v>187</v>
      </c>
      <c r="E41" s="175" t="s">
        <v>399</v>
      </c>
      <c r="F41" s="37" t="s">
        <v>151</v>
      </c>
    </row>
    <row r="42" spans="1:10" ht="14.25" customHeight="1" x14ac:dyDescent="0.3">
      <c r="A42" s="204">
        <v>40</v>
      </c>
      <c r="B42" s="186" t="s">
        <v>421</v>
      </c>
      <c r="C42" s="186" t="s">
        <v>408</v>
      </c>
      <c r="D42" s="187" t="s">
        <v>187</v>
      </c>
      <c r="E42" s="186" t="s">
        <v>399</v>
      </c>
      <c r="F42" s="43" t="s">
        <v>151</v>
      </c>
    </row>
    <row r="43" spans="1:10" ht="14.25" customHeight="1" x14ac:dyDescent="0.3">
      <c r="A43" s="173">
        <v>41</v>
      </c>
      <c r="B43" s="171" t="s">
        <v>393</v>
      </c>
      <c r="C43" s="171" t="s">
        <v>394</v>
      </c>
      <c r="D43" s="171" t="s">
        <v>140</v>
      </c>
      <c r="E43" s="171">
        <v>0</v>
      </c>
      <c r="F43" s="172" t="s">
        <v>151</v>
      </c>
    </row>
    <row r="44" spans="1:10" ht="14.25" customHeight="1" x14ac:dyDescent="0.3">
      <c r="A44" s="40">
        <v>42</v>
      </c>
      <c r="B44" s="175" t="s">
        <v>393</v>
      </c>
      <c r="C44" s="175" t="s">
        <v>154</v>
      </c>
      <c r="D44" s="175" t="s">
        <v>140</v>
      </c>
      <c r="E44" s="175">
        <v>0</v>
      </c>
      <c r="F44" s="37" t="s">
        <v>151</v>
      </c>
    </row>
    <row r="45" spans="1:10" ht="14.25" customHeight="1" x14ac:dyDescent="0.3">
      <c r="A45" s="40">
        <v>43</v>
      </c>
      <c r="B45" s="175" t="s">
        <v>393</v>
      </c>
      <c r="C45" s="175" t="s">
        <v>398</v>
      </c>
      <c r="D45" s="175" t="s">
        <v>140</v>
      </c>
      <c r="E45" s="175">
        <v>300</v>
      </c>
      <c r="F45" s="37" t="s">
        <v>150</v>
      </c>
    </row>
    <row r="46" spans="1:10" ht="14.25" customHeight="1" x14ac:dyDescent="0.3">
      <c r="A46" s="40">
        <v>44</v>
      </c>
      <c r="B46" s="175" t="s">
        <v>393</v>
      </c>
      <c r="C46" s="175" t="s">
        <v>402</v>
      </c>
      <c r="D46" s="175" t="s">
        <v>140</v>
      </c>
      <c r="E46" s="175">
        <v>300</v>
      </c>
      <c r="F46" s="37" t="s">
        <v>153</v>
      </c>
    </row>
    <row r="47" spans="1:10" ht="14.25" customHeight="1" x14ac:dyDescent="0.3">
      <c r="A47" s="40">
        <v>45</v>
      </c>
      <c r="B47" s="175" t="s">
        <v>393</v>
      </c>
      <c r="C47" s="175" t="s">
        <v>343</v>
      </c>
      <c r="D47" s="175" t="s">
        <v>140</v>
      </c>
      <c r="E47" s="175">
        <v>300</v>
      </c>
      <c r="F47" s="37" t="s">
        <v>150</v>
      </c>
    </row>
    <row r="48" spans="1:10" ht="14.25" customHeight="1" x14ac:dyDescent="0.3">
      <c r="A48" s="40">
        <v>46</v>
      </c>
      <c r="B48" s="175" t="s">
        <v>393</v>
      </c>
      <c r="C48" s="175" t="s">
        <v>160</v>
      </c>
      <c r="D48" s="175" t="s">
        <v>140</v>
      </c>
      <c r="E48" s="175">
        <v>300</v>
      </c>
      <c r="F48" s="37" t="s">
        <v>150</v>
      </c>
    </row>
    <row r="49" spans="1:6" ht="14.25" customHeight="1" x14ac:dyDescent="0.3">
      <c r="A49" s="40">
        <v>47</v>
      </c>
      <c r="B49" s="175" t="s">
        <v>393</v>
      </c>
      <c r="C49" s="175" t="s">
        <v>407</v>
      </c>
      <c r="D49" s="175" t="s">
        <v>140</v>
      </c>
      <c r="E49" s="175">
        <v>300</v>
      </c>
      <c r="F49" s="37" t="s">
        <v>150</v>
      </c>
    </row>
    <row r="50" spans="1:6" ht="14.25" customHeight="1" x14ac:dyDescent="0.3">
      <c r="A50" s="40">
        <v>48</v>
      </c>
      <c r="B50" s="175" t="s">
        <v>393</v>
      </c>
      <c r="C50" s="175" t="s">
        <v>408</v>
      </c>
      <c r="D50" s="175" t="s">
        <v>140</v>
      </c>
      <c r="E50" s="175">
        <v>300</v>
      </c>
      <c r="F50" s="37" t="s">
        <v>150</v>
      </c>
    </row>
    <row r="51" spans="1:6" ht="14.25" customHeight="1" x14ac:dyDescent="0.3">
      <c r="A51" s="40">
        <v>49</v>
      </c>
      <c r="B51" s="175" t="s">
        <v>409</v>
      </c>
      <c r="C51" s="175" t="s">
        <v>394</v>
      </c>
      <c r="D51" s="175" t="s">
        <v>140</v>
      </c>
      <c r="E51" s="175">
        <v>0</v>
      </c>
      <c r="F51" s="37" t="s">
        <v>151</v>
      </c>
    </row>
    <row r="52" spans="1:6" ht="14.25" customHeight="1" x14ac:dyDescent="0.3">
      <c r="A52" s="40">
        <v>50</v>
      </c>
      <c r="B52" s="175" t="s">
        <v>409</v>
      </c>
      <c r="C52" s="175" t="s">
        <v>154</v>
      </c>
      <c r="D52" s="175" t="s">
        <v>140</v>
      </c>
      <c r="E52" s="175">
        <v>0</v>
      </c>
      <c r="F52" s="37" t="s">
        <v>151</v>
      </c>
    </row>
    <row r="53" spans="1:6" ht="14.25" customHeight="1" x14ac:dyDescent="0.3">
      <c r="A53" s="40">
        <v>51</v>
      </c>
      <c r="B53" s="175" t="s">
        <v>409</v>
      </c>
      <c r="C53" s="175" t="s">
        <v>398</v>
      </c>
      <c r="D53" s="175" t="s">
        <v>140</v>
      </c>
      <c r="E53" s="175">
        <v>1000</v>
      </c>
      <c r="F53" s="37" t="s">
        <v>150</v>
      </c>
    </row>
    <row r="54" spans="1:6" ht="14.25" customHeight="1" x14ac:dyDescent="0.3">
      <c r="A54" s="40">
        <v>52</v>
      </c>
      <c r="B54" s="175" t="s">
        <v>409</v>
      </c>
      <c r="C54" s="175" t="s">
        <v>402</v>
      </c>
      <c r="D54" s="175" t="s">
        <v>140</v>
      </c>
      <c r="E54" s="175">
        <v>1000</v>
      </c>
      <c r="F54" s="37" t="s">
        <v>153</v>
      </c>
    </row>
    <row r="55" spans="1:6" ht="14.25" customHeight="1" x14ac:dyDescent="0.3">
      <c r="A55" s="40">
        <v>53</v>
      </c>
      <c r="B55" s="175" t="s">
        <v>409</v>
      </c>
      <c r="C55" s="175" t="s">
        <v>343</v>
      </c>
      <c r="D55" s="175" t="s">
        <v>140</v>
      </c>
      <c r="E55" s="175">
        <v>1000</v>
      </c>
      <c r="F55" s="37" t="s">
        <v>150</v>
      </c>
    </row>
    <row r="56" spans="1:6" ht="14.25" customHeight="1" x14ac:dyDescent="0.3">
      <c r="A56" s="40">
        <v>54</v>
      </c>
      <c r="B56" s="175" t="s">
        <v>409</v>
      </c>
      <c r="C56" s="175" t="s">
        <v>160</v>
      </c>
      <c r="D56" s="175" t="s">
        <v>140</v>
      </c>
      <c r="E56" s="175">
        <v>600</v>
      </c>
      <c r="F56" s="37" t="s">
        <v>150</v>
      </c>
    </row>
    <row r="57" spans="1:6" ht="14.25" customHeight="1" x14ac:dyDescent="0.3">
      <c r="A57" s="40">
        <v>55</v>
      </c>
      <c r="B57" s="175" t="s">
        <v>409</v>
      </c>
      <c r="C57" s="175" t="s">
        <v>407</v>
      </c>
      <c r="D57" s="175" t="s">
        <v>140</v>
      </c>
      <c r="E57" s="175">
        <v>600</v>
      </c>
      <c r="F57" s="37" t="s">
        <v>150</v>
      </c>
    </row>
    <row r="58" spans="1:6" ht="14.25" customHeight="1" x14ac:dyDescent="0.3">
      <c r="A58" s="40">
        <v>56</v>
      </c>
      <c r="B58" s="175" t="s">
        <v>409</v>
      </c>
      <c r="C58" s="175" t="s">
        <v>408</v>
      </c>
      <c r="D58" s="175" t="s">
        <v>140</v>
      </c>
      <c r="E58" s="175">
        <v>600</v>
      </c>
      <c r="F58" s="37" t="s">
        <v>150</v>
      </c>
    </row>
    <row r="59" spans="1:6" ht="14.25" customHeight="1" x14ac:dyDescent="0.3">
      <c r="A59" s="40">
        <v>57</v>
      </c>
      <c r="B59" s="175" t="s">
        <v>138</v>
      </c>
      <c r="C59" s="175" t="s">
        <v>394</v>
      </c>
      <c r="D59" s="175" t="s">
        <v>140</v>
      </c>
      <c r="E59" s="175">
        <v>0</v>
      </c>
      <c r="F59" s="37" t="s">
        <v>151</v>
      </c>
    </row>
    <row r="60" spans="1:6" ht="14.25" customHeight="1" x14ac:dyDescent="0.3">
      <c r="A60" s="40">
        <v>58</v>
      </c>
      <c r="B60" s="175" t="s">
        <v>138</v>
      </c>
      <c r="C60" s="175" t="s">
        <v>154</v>
      </c>
      <c r="D60" s="175" t="s">
        <v>140</v>
      </c>
      <c r="E60" s="175">
        <v>0</v>
      </c>
      <c r="F60" s="37" t="s">
        <v>151</v>
      </c>
    </row>
    <row r="61" spans="1:6" ht="14.25" customHeight="1" x14ac:dyDescent="0.3">
      <c r="A61" s="40">
        <v>59</v>
      </c>
      <c r="B61" s="175" t="s">
        <v>138</v>
      </c>
      <c r="C61" s="175" t="s">
        <v>398</v>
      </c>
      <c r="D61" s="175" t="s">
        <v>140</v>
      </c>
      <c r="E61" s="175">
        <v>1500</v>
      </c>
      <c r="F61" s="37" t="s">
        <v>150</v>
      </c>
    </row>
    <row r="62" spans="1:6" ht="14.25" customHeight="1" x14ac:dyDescent="0.3">
      <c r="A62" s="40">
        <v>60</v>
      </c>
      <c r="B62" s="175" t="s">
        <v>138</v>
      </c>
      <c r="C62" s="175" t="s">
        <v>402</v>
      </c>
      <c r="D62" s="175" t="s">
        <v>140</v>
      </c>
      <c r="E62" s="175">
        <v>1500</v>
      </c>
      <c r="F62" s="37" t="s">
        <v>153</v>
      </c>
    </row>
    <row r="63" spans="1:6" ht="14.25" customHeight="1" x14ac:dyDescent="0.3">
      <c r="A63" s="40">
        <v>61</v>
      </c>
      <c r="B63" s="175" t="s">
        <v>138</v>
      </c>
      <c r="C63" s="175" t="s">
        <v>343</v>
      </c>
      <c r="D63" s="175" t="s">
        <v>140</v>
      </c>
      <c r="E63" s="175">
        <v>1500</v>
      </c>
      <c r="F63" s="37" t="s">
        <v>150</v>
      </c>
    </row>
    <row r="64" spans="1:6" ht="14.25" customHeight="1" x14ac:dyDescent="0.3">
      <c r="A64" s="40">
        <v>62</v>
      </c>
      <c r="B64" s="175" t="s">
        <v>138</v>
      </c>
      <c r="C64" s="175" t="s">
        <v>160</v>
      </c>
      <c r="D64" s="175" t="s">
        <v>140</v>
      </c>
      <c r="E64" s="175">
        <v>800</v>
      </c>
      <c r="F64" s="37" t="s">
        <v>150</v>
      </c>
    </row>
    <row r="65" spans="1:6" ht="14.25" customHeight="1" x14ac:dyDescent="0.3">
      <c r="A65" s="40">
        <v>63</v>
      </c>
      <c r="B65" s="175" t="s">
        <v>138</v>
      </c>
      <c r="C65" s="175" t="s">
        <v>407</v>
      </c>
      <c r="D65" s="175" t="s">
        <v>140</v>
      </c>
      <c r="E65" s="175">
        <v>800</v>
      </c>
      <c r="F65" s="37" t="s">
        <v>150</v>
      </c>
    </row>
    <row r="66" spans="1:6" ht="14.25" customHeight="1" x14ac:dyDescent="0.3">
      <c r="A66" s="40">
        <v>64</v>
      </c>
      <c r="B66" s="175" t="s">
        <v>138</v>
      </c>
      <c r="C66" s="175" t="s">
        <v>408</v>
      </c>
      <c r="D66" s="175" t="s">
        <v>140</v>
      </c>
      <c r="E66" s="175">
        <v>800</v>
      </c>
      <c r="F66" s="37" t="s">
        <v>150</v>
      </c>
    </row>
    <row r="67" spans="1:6" ht="14.25" customHeight="1" x14ac:dyDescent="0.3">
      <c r="A67" s="40">
        <v>65</v>
      </c>
      <c r="B67" s="175" t="s">
        <v>155</v>
      </c>
      <c r="C67" s="175" t="s">
        <v>394</v>
      </c>
      <c r="D67" s="175" t="s">
        <v>140</v>
      </c>
      <c r="E67" s="175">
        <v>0</v>
      </c>
      <c r="F67" s="37" t="s">
        <v>151</v>
      </c>
    </row>
    <row r="68" spans="1:6" ht="14.25" customHeight="1" x14ac:dyDescent="0.3">
      <c r="A68" s="40">
        <v>66</v>
      </c>
      <c r="B68" s="175" t="s">
        <v>155</v>
      </c>
      <c r="C68" s="175" t="s">
        <v>154</v>
      </c>
      <c r="D68" s="175" t="s">
        <v>140</v>
      </c>
      <c r="E68" s="175">
        <v>0</v>
      </c>
      <c r="F68" s="37" t="s">
        <v>151</v>
      </c>
    </row>
    <row r="69" spans="1:6" ht="14.25" customHeight="1" x14ac:dyDescent="0.3">
      <c r="A69" s="40">
        <v>67</v>
      </c>
      <c r="B69" s="175" t="s">
        <v>155</v>
      </c>
      <c r="C69" s="175" t="s">
        <v>398</v>
      </c>
      <c r="D69" s="175" t="s">
        <v>140</v>
      </c>
      <c r="E69" s="175">
        <v>2000</v>
      </c>
      <c r="F69" s="37" t="s">
        <v>150</v>
      </c>
    </row>
    <row r="70" spans="1:6" ht="14.25" customHeight="1" x14ac:dyDescent="0.3">
      <c r="A70" s="40">
        <v>68</v>
      </c>
      <c r="B70" s="175" t="s">
        <v>155</v>
      </c>
      <c r="C70" s="175" t="s">
        <v>402</v>
      </c>
      <c r="D70" s="175" t="s">
        <v>140</v>
      </c>
      <c r="E70" s="175">
        <v>2000</v>
      </c>
      <c r="F70" s="37" t="s">
        <v>150</v>
      </c>
    </row>
    <row r="71" spans="1:6" ht="14.25" customHeight="1" x14ac:dyDescent="0.3">
      <c r="A71" s="40">
        <v>69</v>
      </c>
      <c r="B71" s="175" t="s">
        <v>155</v>
      </c>
      <c r="C71" s="175" t="s">
        <v>343</v>
      </c>
      <c r="D71" s="175" t="s">
        <v>140</v>
      </c>
      <c r="E71" s="175">
        <v>2000</v>
      </c>
      <c r="F71" s="37" t="s">
        <v>150</v>
      </c>
    </row>
    <row r="72" spans="1:6" ht="14.25" customHeight="1" x14ac:dyDescent="0.3">
      <c r="A72" s="40">
        <v>70</v>
      </c>
      <c r="B72" s="175" t="s">
        <v>155</v>
      </c>
      <c r="C72" s="175" t="s">
        <v>160</v>
      </c>
      <c r="D72" s="175" t="s">
        <v>140</v>
      </c>
      <c r="E72" s="175">
        <v>1000</v>
      </c>
      <c r="F72" s="37" t="s">
        <v>150</v>
      </c>
    </row>
    <row r="73" spans="1:6" ht="14.25" customHeight="1" x14ac:dyDescent="0.3">
      <c r="A73" s="40">
        <v>71</v>
      </c>
      <c r="B73" s="175" t="s">
        <v>155</v>
      </c>
      <c r="C73" s="175" t="s">
        <v>407</v>
      </c>
      <c r="D73" s="175" t="s">
        <v>140</v>
      </c>
      <c r="E73" s="175">
        <v>1000</v>
      </c>
      <c r="F73" s="37" t="s">
        <v>150</v>
      </c>
    </row>
    <row r="74" spans="1:6" ht="14.25" customHeight="1" x14ac:dyDescent="0.3">
      <c r="A74" s="182">
        <v>72</v>
      </c>
      <c r="B74" s="183" t="s">
        <v>155</v>
      </c>
      <c r="C74" s="183" t="s">
        <v>408</v>
      </c>
      <c r="D74" s="183" t="s">
        <v>140</v>
      </c>
      <c r="E74" s="183">
        <v>1000</v>
      </c>
      <c r="F74" s="203" t="s">
        <v>150</v>
      </c>
    </row>
    <row r="75" spans="1:6" ht="14.25" customHeight="1" x14ac:dyDescent="0.3">
      <c r="A75" s="184">
        <v>73</v>
      </c>
      <c r="B75" s="185" t="s">
        <v>421</v>
      </c>
      <c r="C75" s="185" t="s">
        <v>394</v>
      </c>
      <c r="D75" s="185" t="s">
        <v>140</v>
      </c>
      <c r="E75" s="185" t="s">
        <v>399</v>
      </c>
      <c r="F75" s="33" t="s">
        <v>151</v>
      </c>
    </row>
    <row r="76" spans="1:6" ht="14.25" customHeight="1" x14ac:dyDescent="0.3">
      <c r="A76" s="40">
        <v>74</v>
      </c>
      <c r="B76" s="175" t="s">
        <v>421</v>
      </c>
      <c r="C76" s="175" t="s">
        <v>154</v>
      </c>
      <c r="D76" s="175" t="s">
        <v>140</v>
      </c>
      <c r="E76" s="175" t="s">
        <v>399</v>
      </c>
      <c r="F76" s="37" t="s">
        <v>151</v>
      </c>
    </row>
    <row r="77" spans="1:6" ht="14.25" customHeight="1" x14ac:dyDescent="0.3">
      <c r="A77" s="40">
        <v>75</v>
      </c>
      <c r="B77" s="175" t="s">
        <v>421</v>
      </c>
      <c r="C77" s="175" t="s">
        <v>398</v>
      </c>
      <c r="D77" s="175" t="s">
        <v>140</v>
      </c>
      <c r="E77" s="175" t="s">
        <v>399</v>
      </c>
      <c r="F77" s="37" t="s">
        <v>151</v>
      </c>
    </row>
    <row r="78" spans="1:6" ht="14.25" customHeight="1" x14ac:dyDescent="0.3">
      <c r="A78" s="40">
        <v>76</v>
      </c>
      <c r="B78" s="175" t="s">
        <v>421</v>
      </c>
      <c r="C78" s="175" t="s">
        <v>402</v>
      </c>
      <c r="D78" s="175" t="s">
        <v>140</v>
      </c>
      <c r="E78" s="175" t="s">
        <v>399</v>
      </c>
      <c r="F78" s="37" t="s">
        <v>151</v>
      </c>
    </row>
    <row r="79" spans="1:6" ht="14.25" customHeight="1" x14ac:dyDescent="0.3">
      <c r="A79" s="40">
        <v>77</v>
      </c>
      <c r="B79" s="175" t="s">
        <v>421</v>
      </c>
      <c r="C79" s="175" t="s">
        <v>343</v>
      </c>
      <c r="D79" s="175" t="s">
        <v>140</v>
      </c>
      <c r="E79" s="175" t="s">
        <v>399</v>
      </c>
      <c r="F79" s="37" t="s">
        <v>151</v>
      </c>
    </row>
    <row r="80" spans="1:6" ht="14.25" customHeight="1" x14ac:dyDescent="0.3">
      <c r="A80" s="40">
        <v>78</v>
      </c>
      <c r="B80" s="175" t="s">
        <v>421</v>
      </c>
      <c r="C80" s="175" t="s">
        <v>160</v>
      </c>
      <c r="D80" s="175" t="s">
        <v>140</v>
      </c>
      <c r="E80" s="175" t="s">
        <v>399</v>
      </c>
      <c r="F80" s="37" t="s">
        <v>151</v>
      </c>
    </row>
    <row r="81" spans="1:6" ht="14.25" customHeight="1" x14ac:dyDescent="0.3">
      <c r="A81" s="40">
        <v>79</v>
      </c>
      <c r="B81" s="175" t="s">
        <v>421</v>
      </c>
      <c r="C81" s="175" t="s">
        <v>407</v>
      </c>
      <c r="D81" s="175" t="s">
        <v>140</v>
      </c>
      <c r="E81" s="175" t="s">
        <v>399</v>
      </c>
      <c r="F81" s="37" t="s">
        <v>151</v>
      </c>
    </row>
    <row r="82" spans="1:6" ht="14.25" customHeight="1" x14ac:dyDescent="0.3">
      <c r="A82" s="204">
        <v>80</v>
      </c>
      <c r="B82" s="186" t="s">
        <v>421</v>
      </c>
      <c r="C82" s="186" t="s">
        <v>408</v>
      </c>
      <c r="D82" s="186" t="s">
        <v>140</v>
      </c>
      <c r="E82" s="186" t="s">
        <v>399</v>
      </c>
      <c r="F82" s="43" t="s">
        <v>151</v>
      </c>
    </row>
    <row r="83" spans="1:6" ht="14.25" customHeight="1" x14ac:dyDescent="0.3"/>
    <row r="84" spans="1:6" ht="14.25" customHeight="1" x14ac:dyDescent="0.3"/>
    <row r="85" spans="1:6" ht="14.25" customHeight="1" x14ac:dyDescent="0.3"/>
    <row r="86" spans="1:6" ht="14.25" customHeight="1" x14ac:dyDescent="0.3"/>
    <row r="87" spans="1:6" ht="14.25" customHeight="1" x14ac:dyDescent="0.3"/>
    <row r="88" spans="1:6" ht="14.25" customHeight="1" x14ac:dyDescent="0.3"/>
    <row r="89" spans="1:6" ht="14.25" customHeight="1" x14ac:dyDescent="0.3"/>
    <row r="90" spans="1:6" ht="14.25" customHeight="1" x14ac:dyDescent="0.3"/>
    <row r="91" spans="1:6" ht="14.25" customHeight="1" x14ac:dyDescent="0.3"/>
    <row r="92" spans="1:6" ht="14.25" customHeight="1" x14ac:dyDescent="0.3"/>
    <row r="93" spans="1:6" ht="14.25" customHeight="1" x14ac:dyDescent="0.3"/>
    <row r="94" spans="1:6" ht="14.25" customHeight="1" x14ac:dyDescent="0.3"/>
    <row r="95" spans="1:6" ht="14.25" customHeight="1" x14ac:dyDescent="0.3"/>
    <row r="96" spans="1: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8"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paperSize="9" orientation="portrai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Hoja11"/>
  <dimension ref="A1:H1000"/>
  <sheetViews>
    <sheetView workbookViewId="0"/>
  </sheetViews>
  <sheetFormatPr baseColWidth="10" defaultColWidth="14.44140625" defaultRowHeight="15" customHeight="1" x14ac:dyDescent="0.3"/>
  <cols>
    <col min="1" max="1" width="22.5546875" customWidth="1"/>
    <col min="2" max="2" width="17.44140625" customWidth="1"/>
    <col min="3" max="3" width="19.33203125" customWidth="1"/>
    <col min="4" max="4" width="10.6640625" customWidth="1"/>
    <col min="5" max="5" width="24.88671875" customWidth="1"/>
    <col min="6" max="6" width="20.6640625" customWidth="1"/>
    <col min="7" max="7" width="10.6640625" customWidth="1"/>
    <col min="8" max="8" width="79.33203125" customWidth="1"/>
  </cols>
  <sheetData>
    <row r="1" spans="1:8" ht="14.25" customHeight="1" x14ac:dyDescent="0.3">
      <c r="A1" s="320" t="s">
        <v>741</v>
      </c>
      <c r="H1" s="152" t="s">
        <v>652</v>
      </c>
    </row>
    <row r="2" spans="1:8" ht="29.25" customHeight="1" x14ac:dyDescent="0.3">
      <c r="A2" s="288" t="s">
        <v>385</v>
      </c>
      <c r="B2" s="289" t="s">
        <v>387</v>
      </c>
      <c r="C2" s="289" t="s">
        <v>647</v>
      </c>
      <c r="D2" s="289" t="s">
        <v>648</v>
      </c>
      <c r="E2" s="290" t="s">
        <v>649</v>
      </c>
      <c r="H2" s="158" t="s">
        <v>655</v>
      </c>
    </row>
    <row r="3" spans="1:8" ht="14.25" customHeight="1" x14ac:dyDescent="0.3">
      <c r="A3" s="212">
        <v>1</v>
      </c>
      <c r="B3" s="213" t="s">
        <v>394</v>
      </c>
      <c r="C3" s="213" t="s">
        <v>187</v>
      </c>
      <c r="D3" s="213">
        <v>0</v>
      </c>
      <c r="E3" s="214" t="s">
        <v>151</v>
      </c>
    </row>
    <row r="4" spans="1:8" ht="14.25" customHeight="1" x14ac:dyDescent="0.3">
      <c r="A4" s="215">
        <v>2</v>
      </c>
      <c r="B4" s="136" t="s">
        <v>154</v>
      </c>
      <c r="C4" s="136" t="s">
        <v>187</v>
      </c>
      <c r="D4" s="136">
        <v>0</v>
      </c>
      <c r="E4" s="114" t="s">
        <v>151</v>
      </c>
      <c r="H4" s="120" t="s">
        <v>742</v>
      </c>
    </row>
    <row r="5" spans="1:8" ht="14.25" customHeight="1" x14ac:dyDescent="0.3">
      <c r="A5" s="215">
        <v>3</v>
      </c>
      <c r="B5" s="136" t="s">
        <v>398</v>
      </c>
      <c r="C5" s="136" t="s">
        <v>187</v>
      </c>
      <c r="D5" s="136">
        <v>2000</v>
      </c>
      <c r="E5" s="114" t="s">
        <v>153</v>
      </c>
      <c r="H5" s="120"/>
    </row>
    <row r="6" spans="1:8" ht="14.25" customHeight="1" x14ac:dyDescent="0.3">
      <c r="A6" s="215">
        <v>4</v>
      </c>
      <c r="B6" s="136" t="s">
        <v>402</v>
      </c>
      <c r="C6" s="136" t="s">
        <v>187</v>
      </c>
      <c r="D6" s="136">
        <v>2000</v>
      </c>
      <c r="E6" s="114" t="s">
        <v>153</v>
      </c>
      <c r="H6" s="120" t="s">
        <v>743</v>
      </c>
    </row>
    <row r="7" spans="1:8" ht="14.25" customHeight="1" x14ac:dyDescent="0.3">
      <c r="A7" s="215">
        <v>5</v>
      </c>
      <c r="B7" s="136" t="s">
        <v>343</v>
      </c>
      <c r="C7" s="136" t="s">
        <v>187</v>
      </c>
      <c r="D7" s="136">
        <v>2000</v>
      </c>
      <c r="E7" s="114" t="s">
        <v>153</v>
      </c>
      <c r="H7" s="120"/>
    </row>
    <row r="8" spans="1:8" ht="11.25" customHeight="1" x14ac:dyDescent="0.3">
      <c r="A8" s="215">
        <v>6</v>
      </c>
      <c r="B8" s="136" t="s">
        <v>160</v>
      </c>
      <c r="C8" s="136" t="s">
        <v>187</v>
      </c>
      <c r="D8" s="136">
        <v>1000</v>
      </c>
      <c r="E8" s="114" t="s">
        <v>153</v>
      </c>
      <c r="H8" s="120"/>
    </row>
    <row r="9" spans="1:8" ht="16.5" customHeight="1" x14ac:dyDescent="0.3">
      <c r="A9" s="215">
        <v>7</v>
      </c>
      <c r="B9" s="136" t="s">
        <v>407</v>
      </c>
      <c r="C9" s="136" t="s">
        <v>187</v>
      </c>
      <c r="D9" s="136">
        <v>1000</v>
      </c>
      <c r="E9" s="114" t="s">
        <v>153</v>
      </c>
      <c r="H9" s="120"/>
    </row>
    <row r="10" spans="1:8" ht="14.25" customHeight="1" x14ac:dyDescent="0.3">
      <c r="A10" s="215">
        <v>8</v>
      </c>
      <c r="B10" s="136" t="s">
        <v>408</v>
      </c>
      <c r="C10" s="136" t="s">
        <v>187</v>
      </c>
      <c r="D10" s="136">
        <v>1000</v>
      </c>
      <c r="E10" s="114" t="s">
        <v>153</v>
      </c>
      <c r="H10" s="120"/>
    </row>
    <row r="11" spans="1:8" ht="14.25" customHeight="1" x14ac:dyDescent="0.3">
      <c r="A11" s="215">
        <v>9</v>
      </c>
      <c r="B11" s="136" t="s">
        <v>394</v>
      </c>
      <c r="C11" s="136" t="s">
        <v>140</v>
      </c>
      <c r="D11" s="136">
        <v>0</v>
      </c>
      <c r="E11" s="114" t="s">
        <v>151</v>
      </c>
    </row>
    <row r="12" spans="1:8" ht="14.25" customHeight="1" x14ac:dyDescent="0.3">
      <c r="A12" s="215">
        <v>10</v>
      </c>
      <c r="B12" s="136" t="s">
        <v>154</v>
      </c>
      <c r="C12" s="136" t="s">
        <v>140</v>
      </c>
      <c r="D12" s="136">
        <v>0</v>
      </c>
      <c r="E12" s="114" t="s">
        <v>151</v>
      </c>
    </row>
    <row r="13" spans="1:8" ht="14.25" customHeight="1" x14ac:dyDescent="0.3">
      <c r="A13" s="215">
        <v>11</v>
      </c>
      <c r="B13" s="136" t="s">
        <v>398</v>
      </c>
      <c r="C13" s="136" t="s">
        <v>140</v>
      </c>
      <c r="D13" s="136">
        <v>1000</v>
      </c>
      <c r="E13" s="114" t="s">
        <v>153</v>
      </c>
    </row>
    <row r="14" spans="1:8" ht="14.25" customHeight="1" x14ac:dyDescent="0.3">
      <c r="A14" s="215">
        <v>12</v>
      </c>
      <c r="B14" s="136" t="s">
        <v>402</v>
      </c>
      <c r="C14" s="136" t="s">
        <v>140</v>
      </c>
      <c r="D14" s="136">
        <v>1000</v>
      </c>
      <c r="E14" s="114" t="s">
        <v>153</v>
      </c>
    </row>
    <row r="15" spans="1:8" ht="14.25" customHeight="1" x14ac:dyDescent="0.3">
      <c r="A15" s="215">
        <v>13</v>
      </c>
      <c r="B15" s="136" t="s">
        <v>343</v>
      </c>
      <c r="C15" s="136" t="s">
        <v>140</v>
      </c>
      <c r="D15" s="136">
        <v>1000</v>
      </c>
      <c r="E15" s="114" t="s">
        <v>153</v>
      </c>
    </row>
    <row r="16" spans="1:8" ht="14.25" customHeight="1" x14ac:dyDescent="0.3">
      <c r="A16" s="215">
        <v>14</v>
      </c>
      <c r="B16" s="136" t="s">
        <v>160</v>
      </c>
      <c r="C16" s="136" t="s">
        <v>140</v>
      </c>
      <c r="D16" s="136">
        <v>800</v>
      </c>
      <c r="E16" s="114" t="s">
        <v>153</v>
      </c>
      <c r="H16" s="25" t="e">
        <f ca="1">_xludf.CONCAT(H33:H41)</f>
        <v>#NAME?</v>
      </c>
    </row>
    <row r="17" spans="1:8" ht="14.25" customHeight="1" x14ac:dyDescent="0.3">
      <c r="A17" s="215">
        <v>15</v>
      </c>
      <c r="B17" s="136" t="s">
        <v>407</v>
      </c>
      <c r="C17" s="136" t="s">
        <v>140</v>
      </c>
      <c r="D17" s="136">
        <v>800</v>
      </c>
      <c r="E17" s="114" t="s">
        <v>153</v>
      </c>
    </row>
    <row r="18" spans="1:8" ht="14.25" customHeight="1" x14ac:dyDescent="0.3">
      <c r="A18" s="216">
        <v>16</v>
      </c>
      <c r="B18" s="217" t="s">
        <v>408</v>
      </c>
      <c r="C18" s="217" t="s">
        <v>140</v>
      </c>
      <c r="D18" s="217">
        <v>800</v>
      </c>
      <c r="E18" s="117" t="s">
        <v>153</v>
      </c>
    </row>
    <row r="19" spans="1:8" ht="14.25" customHeight="1" x14ac:dyDescent="0.3">
      <c r="H19" s="120" t="s">
        <v>744</v>
      </c>
    </row>
    <row r="20" spans="1:8" ht="14.25" customHeight="1" x14ac:dyDescent="0.3"/>
    <row r="21" spans="1:8" ht="14.25" customHeight="1" x14ac:dyDescent="0.3">
      <c r="H21" s="120" t="s">
        <v>745</v>
      </c>
    </row>
    <row r="22" spans="1:8" ht="14.25" customHeight="1" x14ac:dyDescent="0.3">
      <c r="A22" s="320" t="s">
        <v>746</v>
      </c>
    </row>
    <row r="23" spans="1:8" ht="14.25" customHeight="1" x14ac:dyDescent="0.3">
      <c r="A23" s="320" t="s">
        <v>385</v>
      </c>
      <c r="B23" s="320" t="s">
        <v>388</v>
      </c>
      <c r="C23" s="321" t="s">
        <v>8</v>
      </c>
      <c r="D23" s="321" t="s">
        <v>648</v>
      </c>
      <c r="E23" s="322" t="s">
        <v>747</v>
      </c>
      <c r="F23" s="322" t="s">
        <v>748</v>
      </c>
      <c r="H23" s="120" t="s">
        <v>749</v>
      </c>
    </row>
    <row r="24" spans="1:8" ht="14.25" customHeight="1" x14ac:dyDescent="0.3">
      <c r="A24" s="184">
        <v>1</v>
      </c>
      <c r="B24" s="185" t="s">
        <v>139</v>
      </c>
      <c r="C24" s="185" t="s">
        <v>187</v>
      </c>
      <c r="D24" s="185">
        <v>100</v>
      </c>
      <c r="E24" s="185" t="s">
        <v>750</v>
      </c>
      <c r="F24" s="33">
        <v>6</v>
      </c>
    </row>
    <row r="25" spans="1:8" ht="14.25" customHeight="1" x14ac:dyDescent="0.3">
      <c r="A25" s="40">
        <v>2</v>
      </c>
      <c r="B25" s="175" t="s">
        <v>422</v>
      </c>
      <c r="C25" s="175" t="s">
        <v>187</v>
      </c>
      <c r="D25" s="175">
        <v>100</v>
      </c>
      <c r="E25" s="175" t="s">
        <v>751</v>
      </c>
      <c r="F25" s="37">
        <v>9</v>
      </c>
    </row>
    <row r="26" spans="1:8" ht="14.25" customHeight="1" x14ac:dyDescent="0.3">
      <c r="A26" s="40">
        <v>3</v>
      </c>
      <c r="B26" s="175" t="s">
        <v>139</v>
      </c>
      <c r="C26" s="175" t="s">
        <v>140</v>
      </c>
      <c r="D26" s="175">
        <v>100</v>
      </c>
      <c r="E26" s="175" t="s">
        <v>751</v>
      </c>
      <c r="F26" s="37">
        <v>9</v>
      </c>
    </row>
    <row r="27" spans="1:8" ht="14.25" customHeight="1" x14ac:dyDescent="0.3">
      <c r="A27" s="204">
        <v>4</v>
      </c>
      <c r="B27" s="186" t="s">
        <v>422</v>
      </c>
      <c r="C27" s="186" t="s">
        <v>140</v>
      </c>
      <c r="D27" s="186">
        <v>100</v>
      </c>
      <c r="E27" s="186" t="s">
        <v>752</v>
      </c>
      <c r="F27" s="43">
        <v>12</v>
      </c>
    </row>
    <row r="28" spans="1:8" ht="14.25" customHeight="1" x14ac:dyDescent="0.3"/>
    <row r="29" spans="1:8" ht="14.25" customHeight="1" x14ac:dyDescent="0.3"/>
    <row r="30" spans="1:8" ht="14.25" customHeight="1" x14ac:dyDescent="0.3"/>
    <row r="31" spans="1:8" ht="14.25" customHeight="1" x14ac:dyDescent="0.3">
      <c r="A31" s="209"/>
    </row>
    <row r="32" spans="1:8"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Hoja12"/>
  <dimension ref="A1:A1000"/>
  <sheetViews>
    <sheetView workbookViewId="0"/>
  </sheetViews>
  <sheetFormatPr baseColWidth="10" defaultColWidth="14.44140625" defaultRowHeight="15" customHeight="1" x14ac:dyDescent="0.3"/>
  <cols>
    <col min="1" max="6" width="10.6640625" customWidth="1"/>
  </cols>
  <sheetData>
    <row r="1" spans="1:1" ht="14.25" customHeight="1" x14ac:dyDescent="0.3">
      <c r="A1" s="25" t="s">
        <v>753</v>
      </c>
    </row>
    <row r="2" spans="1:1" ht="14.25" customHeight="1" x14ac:dyDescent="0.3">
      <c r="A2" s="25" t="s">
        <v>754</v>
      </c>
    </row>
    <row r="3" spans="1:1" ht="14.25" customHeight="1" x14ac:dyDescent="0.3">
      <c r="A3" s="25" t="s">
        <v>755</v>
      </c>
    </row>
    <row r="4" spans="1:1" ht="14.25" customHeight="1" x14ac:dyDescent="0.3"/>
    <row r="5" spans="1:1" ht="14.25" customHeight="1" x14ac:dyDescent="0.3"/>
    <row r="6" spans="1:1" ht="14.25" customHeight="1" x14ac:dyDescent="0.3"/>
    <row r="7" spans="1:1" ht="14.25" customHeight="1" x14ac:dyDescent="0.3"/>
    <row r="8" spans="1:1" ht="14.25" customHeight="1" x14ac:dyDescent="0.3"/>
    <row r="9" spans="1:1" ht="14.25" customHeight="1" x14ac:dyDescent="0.3"/>
    <row r="10" spans="1:1" ht="14.25" customHeight="1" x14ac:dyDescent="0.3"/>
    <row r="11" spans="1:1" ht="14.25" customHeight="1" x14ac:dyDescent="0.3"/>
    <row r="12" spans="1:1" ht="14.25" customHeight="1" x14ac:dyDescent="0.3"/>
    <row r="13" spans="1:1" ht="14.25" customHeight="1" x14ac:dyDescent="0.3"/>
    <row r="14" spans="1:1" ht="14.25" customHeight="1" x14ac:dyDescent="0.3"/>
    <row r="15" spans="1:1" ht="14.25" customHeight="1" x14ac:dyDescent="0.3"/>
    <row r="16" spans="1:1"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Hoja13"/>
  <dimension ref="A1:D1000"/>
  <sheetViews>
    <sheetView workbookViewId="0"/>
  </sheetViews>
  <sheetFormatPr baseColWidth="10" defaultColWidth="14.44140625" defaultRowHeight="15" customHeight="1" x14ac:dyDescent="0.3"/>
  <cols>
    <col min="1" max="1" width="25.5546875" customWidth="1"/>
    <col min="2" max="2" width="14.33203125" customWidth="1"/>
    <col min="3" max="6" width="10.6640625" customWidth="1"/>
  </cols>
  <sheetData>
    <row r="1" spans="1:4" ht="14.25" customHeight="1" x14ac:dyDescent="0.3">
      <c r="A1" s="323" t="s">
        <v>756</v>
      </c>
    </row>
    <row r="2" spans="1:4" ht="14.25" customHeight="1" x14ac:dyDescent="0.3">
      <c r="A2" s="324" t="s">
        <v>757</v>
      </c>
      <c r="B2" s="325" t="s">
        <v>649</v>
      </c>
      <c r="D2" s="25" t="s">
        <v>758</v>
      </c>
    </row>
    <row r="3" spans="1:4" ht="14.25" customHeight="1" x14ac:dyDescent="0.3">
      <c r="A3" s="40" t="s">
        <v>759</v>
      </c>
      <c r="B3" s="37" t="s">
        <v>150</v>
      </c>
      <c r="D3" s="25" t="s">
        <v>760</v>
      </c>
    </row>
    <row r="4" spans="1:4" ht="14.25" customHeight="1" x14ac:dyDescent="0.3">
      <c r="A4" s="40" t="s">
        <v>761</v>
      </c>
      <c r="B4" s="37" t="s">
        <v>151</v>
      </c>
    </row>
    <row r="5" spans="1:4" ht="14.25" customHeight="1" x14ac:dyDescent="0.3">
      <c r="A5" s="40" t="s">
        <v>762</v>
      </c>
      <c r="B5" s="37" t="s">
        <v>150</v>
      </c>
    </row>
    <row r="6" spans="1:4" ht="14.25" customHeight="1" x14ac:dyDescent="0.3">
      <c r="A6" s="40" t="s">
        <v>763</v>
      </c>
      <c r="B6" s="37" t="s">
        <v>150</v>
      </c>
    </row>
    <row r="7" spans="1:4" ht="14.25" customHeight="1" x14ac:dyDescent="0.3">
      <c r="A7" s="40" t="s">
        <v>764</v>
      </c>
      <c r="B7" s="37" t="s">
        <v>150</v>
      </c>
    </row>
    <row r="8" spans="1:4" ht="14.25" customHeight="1" x14ac:dyDescent="0.3">
      <c r="A8" s="40" t="s">
        <v>765</v>
      </c>
      <c r="B8" s="37" t="s">
        <v>151</v>
      </c>
    </row>
    <row r="9" spans="1:4" ht="14.25" customHeight="1" x14ac:dyDescent="0.3">
      <c r="A9" s="40" t="s">
        <v>766</v>
      </c>
      <c r="B9" s="37" t="s">
        <v>151</v>
      </c>
    </row>
    <row r="10" spans="1:4" ht="14.25" customHeight="1" x14ac:dyDescent="0.3">
      <c r="A10" s="40" t="s">
        <v>767</v>
      </c>
      <c r="B10" s="37" t="s">
        <v>151</v>
      </c>
    </row>
    <row r="11" spans="1:4" ht="14.25" customHeight="1" x14ac:dyDescent="0.3">
      <c r="A11" s="204" t="s">
        <v>768</v>
      </c>
      <c r="B11" s="43" t="s">
        <v>151</v>
      </c>
    </row>
    <row r="12" spans="1:4" ht="14.25" customHeight="1" x14ac:dyDescent="0.3"/>
    <row r="13" spans="1:4" ht="14.25" customHeight="1" x14ac:dyDescent="0.3"/>
    <row r="14" spans="1:4" ht="14.25" customHeight="1" x14ac:dyDescent="0.3"/>
    <row r="15" spans="1:4" ht="14.25" customHeight="1" x14ac:dyDescent="0.3"/>
    <row r="16" spans="1:4" ht="14.25" customHeight="1" x14ac:dyDescent="0.3"/>
    <row r="17" spans="1:1" ht="14.25" customHeight="1" x14ac:dyDescent="0.3"/>
    <row r="18" spans="1:1" ht="14.25" customHeight="1" x14ac:dyDescent="0.3"/>
    <row r="19" spans="1:1" ht="14.25" customHeight="1" x14ac:dyDescent="0.3"/>
    <row r="20" spans="1:1" ht="14.25" customHeight="1" x14ac:dyDescent="0.3"/>
    <row r="21" spans="1:1" ht="14.25" customHeight="1" x14ac:dyDescent="0.3">
      <c r="A21" s="326" t="s">
        <v>769</v>
      </c>
    </row>
    <row r="22" spans="1:1" ht="14.25" customHeight="1" x14ac:dyDescent="0.3"/>
    <row r="23" spans="1:1" ht="14.25" customHeight="1" x14ac:dyDescent="0.3"/>
    <row r="24" spans="1:1" ht="14.25" customHeight="1" x14ac:dyDescent="0.3"/>
    <row r="25" spans="1:1" ht="14.25" customHeight="1" x14ac:dyDescent="0.3"/>
    <row r="26" spans="1:1" ht="14.25" customHeight="1" x14ac:dyDescent="0.3"/>
    <row r="27" spans="1:1" ht="14.25" customHeight="1" x14ac:dyDescent="0.3"/>
    <row r="28" spans="1:1" ht="14.25" customHeight="1" x14ac:dyDescent="0.3"/>
    <row r="29" spans="1:1" ht="14.25" customHeight="1" x14ac:dyDescent="0.3"/>
    <row r="30" spans="1:1" ht="14.25" customHeight="1" x14ac:dyDescent="0.3"/>
    <row r="31" spans="1:1" ht="14.25" customHeight="1" x14ac:dyDescent="0.3"/>
    <row r="32" spans="1:1"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Hoja4"/>
  <dimension ref="A1:M1000"/>
  <sheetViews>
    <sheetView workbookViewId="0"/>
  </sheetViews>
  <sheetFormatPr baseColWidth="10" defaultColWidth="14.44140625" defaultRowHeight="15" customHeight="1" x14ac:dyDescent="0.3"/>
  <cols>
    <col min="1" max="1" width="16.6640625" customWidth="1"/>
    <col min="2" max="4" width="10.6640625" customWidth="1"/>
    <col min="5" max="5" width="13" customWidth="1"/>
    <col min="6" max="8" width="10.6640625" customWidth="1"/>
    <col min="9" max="9" width="15.44140625" customWidth="1"/>
    <col min="10" max="10" width="10.6640625" customWidth="1"/>
    <col min="11" max="11" width="18.33203125" customWidth="1"/>
    <col min="12" max="12" width="10.6640625" customWidth="1"/>
    <col min="13" max="13" width="31.5546875" customWidth="1"/>
  </cols>
  <sheetData>
    <row r="1" spans="1:13" ht="14.25" customHeight="1" x14ac:dyDescent="0.3">
      <c r="A1" s="327" t="s">
        <v>770</v>
      </c>
      <c r="B1" s="328" t="s">
        <v>771</v>
      </c>
      <c r="C1" s="328" t="s">
        <v>5</v>
      </c>
      <c r="E1" s="328" t="s">
        <v>388</v>
      </c>
      <c r="G1" s="327" t="s">
        <v>772</v>
      </c>
      <c r="I1" s="328" t="s">
        <v>8</v>
      </c>
      <c r="K1" s="328" t="s">
        <v>773</v>
      </c>
      <c r="M1" s="328" t="s">
        <v>774</v>
      </c>
    </row>
    <row r="2" spans="1:13" ht="14.25" customHeight="1" x14ac:dyDescent="0.3">
      <c r="A2" s="329" t="s">
        <v>393</v>
      </c>
      <c r="B2" s="308">
        <v>425</v>
      </c>
      <c r="C2" s="330" t="s">
        <v>394</v>
      </c>
      <c r="E2" s="9" t="s">
        <v>139</v>
      </c>
      <c r="G2" s="331" t="b">
        <v>0</v>
      </c>
      <c r="I2" s="9" t="s">
        <v>187</v>
      </c>
      <c r="K2" s="171" t="s">
        <v>775</v>
      </c>
      <c r="M2" s="9" t="s">
        <v>145</v>
      </c>
    </row>
    <row r="3" spans="1:13" ht="14.25" customHeight="1" x14ac:dyDescent="0.3">
      <c r="A3" s="332" t="s">
        <v>409</v>
      </c>
      <c r="B3" s="14">
        <v>850</v>
      </c>
      <c r="C3" s="333" t="s">
        <v>154</v>
      </c>
      <c r="E3" s="311" t="s">
        <v>422</v>
      </c>
      <c r="G3" s="308" t="b">
        <v>1</v>
      </c>
      <c r="I3" s="311" t="s">
        <v>140</v>
      </c>
      <c r="K3" s="175" t="s">
        <v>776</v>
      </c>
      <c r="M3" s="14" t="s">
        <v>777</v>
      </c>
    </row>
    <row r="4" spans="1:13" ht="14.25" customHeight="1" x14ac:dyDescent="0.3">
      <c r="A4" s="332" t="s">
        <v>138</v>
      </c>
      <c r="B4" s="14">
        <v>1275</v>
      </c>
      <c r="C4" s="333" t="s">
        <v>398</v>
      </c>
      <c r="K4" s="175" t="s">
        <v>778</v>
      </c>
      <c r="M4" s="334" t="s">
        <v>779</v>
      </c>
    </row>
    <row r="5" spans="1:13" ht="27.75" customHeight="1" x14ac:dyDescent="0.3">
      <c r="A5" s="332" t="s">
        <v>155</v>
      </c>
      <c r="B5" s="14">
        <v>1700</v>
      </c>
      <c r="C5" s="333" t="s">
        <v>402</v>
      </c>
      <c r="K5" s="175" t="s">
        <v>780</v>
      </c>
      <c r="M5" s="232" t="s">
        <v>781</v>
      </c>
    </row>
    <row r="6" spans="1:13" ht="14.25" customHeight="1" x14ac:dyDescent="0.3">
      <c r="A6" s="335" t="s">
        <v>421</v>
      </c>
      <c r="B6" s="14">
        <v>3400</v>
      </c>
      <c r="C6" s="333" t="s">
        <v>343</v>
      </c>
      <c r="K6" s="175" t="s">
        <v>782</v>
      </c>
    </row>
    <row r="7" spans="1:13" ht="14.25" customHeight="1" x14ac:dyDescent="0.3">
      <c r="B7" s="14">
        <v>6800</v>
      </c>
      <c r="C7" s="333" t="s">
        <v>160</v>
      </c>
      <c r="K7" s="175" t="s">
        <v>783</v>
      </c>
    </row>
    <row r="8" spans="1:13" ht="14.25" customHeight="1" x14ac:dyDescent="0.3">
      <c r="B8" s="14">
        <v>13600</v>
      </c>
      <c r="C8" s="333" t="s">
        <v>407</v>
      </c>
      <c r="K8" s="175" t="s">
        <v>784</v>
      </c>
    </row>
    <row r="9" spans="1:13" ht="14.25" customHeight="1" x14ac:dyDescent="0.3">
      <c r="B9" s="311">
        <v>9.9999999999999999E+52</v>
      </c>
      <c r="C9" s="333" t="s">
        <v>408</v>
      </c>
      <c r="K9" s="175" t="s">
        <v>785</v>
      </c>
    </row>
    <row r="10" spans="1:13" ht="14.25" customHeight="1" x14ac:dyDescent="0.3"/>
    <row r="11" spans="1:13" ht="14.25" customHeight="1" x14ac:dyDescent="0.3"/>
    <row r="12" spans="1:13" ht="14.25" customHeight="1" x14ac:dyDescent="0.3"/>
    <row r="13" spans="1:13" ht="14.25" customHeight="1" x14ac:dyDescent="0.3"/>
    <row r="14" spans="1:13" ht="14.25" customHeight="1" x14ac:dyDescent="0.3"/>
    <row r="15" spans="1:13" ht="14.25" customHeight="1" x14ac:dyDescent="0.3"/>
    <row r="16" spans="1:13"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Hoja46">
    <pageSetUpPr fitToPage="1"/>
  </sheetPr>
  <dimension ref="A1:Z1000"/>
  <sheetViews>
    <sheetView showGridLines="0" workbookViewId="0"/>
  </sheetViews>
  <sheetFormatPr baseColWidth="10" defaultColWidth="14.44140625" defaultRowHeight="15" customHeight="1" x14ac:dyDescent="0.3"/>
  <cols>
    <col min="1" max="1" width="4.6640625" customWidth="1"/>
    <col min="2" max="16" width="12.6640625" customWidth="1"/>
    <col min="17" max="26" width="9.109375" customWidth="1"/>
  </cols>
  <sheetData>
    <row r="1" spans="2:16" ht="14.25" customHeight="1" x14ac:dyDescent="0.3"/>
    <row r="2" spans="2:16" ht="14.25" customHeight="1" x14ac:dyDescent="0.3">
      <c r="B2" s="405" t="s">
        <v>786</v>
      </c>
      <c r="C2" s="379"/>
      <c r="D2" s="379"/>
      <c r="E2" s="379"/>
      <c r="F2" s="379"/>
      <c r="G2" s="379"/>
      <c r="H2" s="379"/>
      <c r="I2" s="379"/>
      <c r="J2" s="379"/>
      <c r="K2" s="379"/>
      <c r="L2" s="379"/>
      <c r="M2" s="379"/>
      <c r="N2" s="379"/>
      <c r="O2" s="379"/>
      <c r="P2" s="379"/>
    </row>
    <row r="3" spans="2:16" ht="14.25" customHeight="1" x14ac:dyDescent="0.3"/>
    <row r="4" spans="2:16" ht="30" customHeight="1" x14ac:dyDescent="0.3">
      <c r="B4" s="369" t="s">
        <v>0</v>
      </c>
      <c r="C4" s="370"/>
      <c r="D4" s="370"/>
      <c r="E4" s="370"/>
      <c r="F4" s="370"/>
      <c r="G4" s="370"/>
      <c r="H4" s="370"/>
      <c r="I4" s="370"/>
      <c r="J4" s="370"/>
      <c r="K4" s="370"/>
      <c r="L4" s="370"/>
      <c r="M4" s="370"/>
      <c r="N4" s="370"/>
      <c r="O4" s="370"/>
      <c r="P4" s="386"/>
    </row>
    <row r="5" spans="2:16" ht="19.5" customHeight="1" x14ac:dyDescent="0.3">
      <c r="B5" s="413" t="s">
        <v>787</v>
      </c>
      <c r="C5" s="409"/>
      <c r="D5" s="407"/>
      <c r="E5" s="406"/>
      <c r="F5" s="407"/>
      <c r="G5" s="408" t="s">
        <v>788</v>
      </c>
      <c r="H5" s="409"/>
      <c r="I5" s="407"/>
      <c r="J5" s="410"/>
      <c r="K5" s="407"/>
      <c r="L5" s="408" t="s">
        <v>8</v>
      </c>
      <c r="M5" s="409"/>
      <c r="N5" s="407"/>
      <c r="O5" s="411"/>
      <c r="P5" s="412"/>
    </row>
    <row r="6" spans="2:16" ht="19.5" customHeight="1" x14ac:dyDescent="0.3">
      <c r="B6" s="414" t="s">
        <v>789</v>
      </c>
      <c r="C6" s="395"/>
      <c r="D6" s="415"/>
      <c r="E6" s="416"/>
      <c r="F6" s="415"/>
      <c r="G6" s="417" t="s">
        <v>790</v>
      </c>
      <c r="H6" s="395"/>
      <c r="I6" s="415"/>
      <c r="J6" s="416"/>
      <c r="K6" s="415"/>
      <c r="L6" s="417" t="s">
        <v>791</v>
      </c>
      <c r="M6" s="395"/>
      <c r="N6" s="415"/>
      <c r="O6" s="418"/>
      <c r="P6" s="396"/>
    </row>
    <row r="7" spans="2:16" ht="19.5" customHeight="1" x14ac:dyDescent="0.3"/>
    <row r="8" spans="2:16" ht="30" customHeight="1" x14ac:dyDescent="0.3">
      <c r="B8" s="373" t="s">
        <v>10</v>
      </c>
      <c r="C8" s="374"/>
      <c r="D8" s="374"/>
      <c r="E8" s="374"/>
      <c r="F8" s="374"/>
      <c r="G8" s="374"/>
      <c r="H8" s="374"/>
      <c r="I8" s="374"/>
      <c r="J8" s="374"/>
      <c r="K8" s="374"/>
      <c r="L8" s="374"/>
      <c r="M8" s="374"/>
      <c r="N8" s="374"/>
      <c r="O8" s="374"/>
      <c r="P8" s="368"/>
    </row>
    <row r="9" spans="2:16" ht="19.5" customHeight="1" x14ac:dyDescent="0.3">
      <c r="B9" s="369" t="s">
        <v>12</v>
      </c>
      <c r="C9" s="370"/>
      <c r="D9" s="370"/>
      <c r="E9" s="370"/>
      <c r="F9" s="370"/>
      <c r="G9" s="370"/>
      <c r="H9" s="370"/>
      <c r="I9" s="370"/>
      <c r="J9" s="370"/>
      <c r="K9" s="370"/>
      <c r="L9" s="370"/>
      <c r="M9" s="370"/>
      <c r="N9" s="370"/>
      <c r="O9" s="370"/>
      <c r="P9" s="386"/>
    </row>
    <row r="10" spans="2:16" ht="19.5" customHeight="1" x14ac:dyDescent="0.3">
      <c r="B10" s="397" t="s">
        <v>792</v>
      </c>
      <c r="C10" s="398"/>
      <c r="D10" s="398"/>
      <c r="E10" s="398"/>
      <c r="F10" s="398"/>
      <c r="G10" s="398"/>
      <c r="H10" s="398"/>
      <c r="I10" s="398"/>
      <c r="J10" s="398"/>
      <c r="K10" s="398"/>
      <c r="L10" s="398"/>
      <c r="M10" s="398"/>
      <c r="N10" s="398"/>
      <c r="O10" s="398"/>
      <c r="P10" s="399"/>
    </row>
    <row r="11" spans="2:16" ht="19.5" customHeight="1" x14ac:dyDescent="0.3">
      <c r="B11" s="419" t="s">
        <v>793</v>
      </c>
      <c r="C11" s="420"/>
      <c r="D11" s="427" t="s">
        <v>794</v>
      </c>
      <c r="E11" s="388"/>
      <c r="F11" s="388"/>
      <c r="G11" s="388"/>
      <c r="H11" s="388"/>
      <c r="I11" s="388"/>
      <c r="J11" s="388"/>
      <c r="K11" s="388"/>
      <c r="L11" s="388"/>
      <c r="M11" s="428"/>
      <c r="N11" s="429" t="s">
        <v>795</v>
      </c>
      <c r="O11" s="430"/>
      <c r="P11" s="431"/>
    </row>
    <row r="12" spans="2:16" ht="19.5" customHeight="1" x14ac:dyDescent="0.3">
      <c r="B12" s="421"/>
      <c r="C12" s="422"/>
      <c r="D12" s="429" t="s">
        <v>796</v>
      </c>
      <c r="E12" s="438"/>
      <c r="F12" s="427" t="s">
        <v>797</v>
      </c>
      <c r="G12" s="388"/>
      <c r="H12" s="388"/>
      <c r="I12" s="428"/>
      <c r="J12" s="429" t="s">
        <v>798</v>
      </c>
      <c r="K12" s="438"/>
      <c r="L12" s="429" t="s">
        <v>799</v>
      </c>
      <c r="M12" s="438"/>
      <c r="N12" s="432"/>
      <c r="O12" s="433"/>
      <c r="P12" s="434"/>
    </row>
    <row r="13" spans="2:16" ht="46.5" customHeight="1" x14ac:dyDescent="0.3">
      <c r="B13" s="423"/>
      <c r="C13" s="424"/>
      <c r="D13" s="435"/>
      <c r="E13" s="439"/>
      <c r="F13" s="404" t="s">
        <v>800</v>
      </c>
      <c r="G13" s="428"/>
      <c r="H13" s="404" t="s">
        <v>801</v>
      </c>
      <c r="I13" s="428"/>
      <c r="J13" s="435"/>
      <c r="K13" s="439"/>
      <c r="L13" s="435"/>
      <c r="M13" s="439"/>
      <c r="N13" s="435"/>
      <c r="O13" s="436"/>
      <c r="P13" s="437"/>
    </row>
    <row r="14" spans="2:16" ht="19.5" customHeight="1" x14ac:dyDescent="0.3">
      <c r="B14" s="425"/>
      <c r="C14" s="402"/>
      <c r="D14" s="426"/>
      <c r="E14" s="402"/>
      <c r="F14" s="426"/>
      <c r="G14" s="402"/>
      <c r="H14" s="426"/>
      <c r="I14" s="402"/>
      <c r="J14" s="440"/>
      <c r="K14" s="428"/>
      <c r="L14" s="426"/>
      <c r="M14" s="402"/>
      <c r="N14" s="440"/>
      <c r="O14" s="388"/>
      <c r="P14" s="392"/>
    </row>
    <row r="15" spans="2:16" ht="19.5" customHeight="1" x14ac:dyDescent="0.3">
      <c r="B15" s="336" t="s">
        <v>802</v>
      </c>
      <c r="C15" s="337"/>
      <c r="D15" s="338"/>
      <c r="E15" s="338"/>
      <c r="F15" s="338"/>
      <c r="G15" s="338"/>
      <c r="H15" s="338"/>
      <c r="I15" s="338"/>
      <c r="J15" s="338"/>
      <c r="K15" s="338"/>
      <c r="L15" s="338"/>
      <c r="M15" s="338"/>
      <c r="N15" s="338"/>
      <c r="O15" s="338"/>
      <c r="P15" s="339"/>
    </row>
    <row r="16" spans="2:16" ht="19.5" customHeight="1" x14ac:dyDescent="0.3">
      <c r="B16" s="340" t="s">
        <v>803</v>
      </c>
      <c r="C16" s="390" t="s">
        <v>804</v>
      </c>
      <c r="D16" s="388"/>
      <c r="E16" s="388"/>
      <c r="F16" s="388"/>
      <c r="G16" s="388"/>
      <c r="H16" s="388"/>
      <c r="I16" s="388"/>
      <c r="J16" s="388"/>
      <c r="K16" s="388"/>
      <c r="L16" s="388"/>
      <c r="M16" s="388"/>
      <c r="N16" s="389"/>
      <c r="O16" s="391" t="s">
        <v>805</v>
      </c>
      <c r="P16" s="392"/>
    </row>
    <row r="17" spans="2:16" ht="19.5" customHeight="1" x14ac:dyDescent="0.3">
      <c r="B17" s="340" t="s">
        <v>806</v>
      </c>
      <c r="C17" s="390" t="s">
        <v>807</v>
      </c>
      <c r="D17" s="388"/>
      <c r="E17" s="388"/>
      <c r="F17" s="388"/>
      <c r="G17" s="388"/>
      <c r="H17" s="388"/>
      <c r="I17" s="388"/>
      <c r="J17" s="388"/>
      <c r="K17" s="388"/>
      <c r="L17" s="388"/>
      <c r="M17" s="388"/>
      <c r="N17" s="389"/>
      <c r="O17" s="391" t="s">
        <v>805</v>
      </c>
      <c r="P17" s="392"/>
    </row>
    <row r="18" spans="2:16" ht="19.5" customHeight="1" x14ac:dyDescent="0.3">
      <c r="B18" s="340" t="s">
        <v>808</v>
      </c>
      <c r="C18" s="387" t="s">
        <v>809</v>
      </c>
      <c r="D18" s="388"/>
      <c r="E18" s="388"/>
      <c r="F18" s="388"/>
      <c r="G18" s="388"/>
      <c r="H18" s="388"/>
      <c r="I18" s="388"/>
      <c r="J18" s="388"/>
      <c r="K18" s="388"/>
      <c r="L18" s="388"/>
      <c r="M18" s="388"/>
      <c r="N18" s="389"/>
      <c r="O18" s="391" t="s">
        <v>805</v>
      </c>
      <c r="P18" s="392"/>
    </row>
    <row r="19" spans="2:16" ht="19.5" customHeight="1" x14ac:dyDescent="0.3">
      <c r="B19" s="340" t="s">
        <v>810</v>
      </c>
      <c r="C19" s="390" t="s">
        <v>811</v>
      </c>
      <c r="D19" s="388"/>
      <c r="E19" s="388"/>
      <c r="F19" s="388"/>
      <c r="G19" s="388"/>
      <c r="H19" s="388"/>
      <c r="I19" s="388"/>
      <c r="J19" s="388"/>
      <c r="K19" s="388"/>
      <c r="L19" s="388"/>
      <c r="M19" s="388"/>
      <c r="N19" s="389"/>
      <c r="O19" s="391" t="s">
        <v>805</v>
      </c>
      <c r="P19" s="392"/>
    </row>
    <row r="20" spans="2:16" ht="19.5" customHeight="1" x14ac:dyDescent="0.3">
      <c r="B20" s="340" t="s">
        <v>812</v>
      </c>
      <c r="C20" s="390" t="s">
        <v>813</v>
      </c>
      <c r="D20" s="388"/>
      <c r="E20" s="388"/>
      <c r="F20" s="388"/>
      <c r="G20" s="388"/>
      <c r="H20" s="388"/>
      <c r="I20" s="388"/>
      <c r="J20" s="388"/>
      <c r="K20" s="388"/>
      <c r="L20" s="388"/>
      <c r="M20" s="388"/>
      <c r="N20" s="389"/>
      <c r="O20" s="391" t="s">
        <v>805</v>
      </c>
      <c r="P20" s="392"/>
    </row>
    <row r="21" spans="2:16" ht="19.5" customHeight="1" x14ac:dyDescent="0.3">
      <c r="B21" s="341" t="s">
        <v>814</v>
      </c>
      <c r="C21" s="390" t="s">
        <v>815</v>
      </c>
      <c r="D21" s="388"/>
      <c r="E21" s="388"/>
      <c r="F21" s="388"/>
      <c r="G21" s="388"/>
      <c r="H21" s="388"/>
      <c r="I21" s="388"/>
      <c r="J21" s="388"/>
      <c r="K21" s="388"/>
      <c r="L21" s="388"/>
      <c r="M21" s="388"/>
      <c r="N21" s="389"/>
      <c r="O21" s="391" t="s">
        <v>805</v>
      </c>
      <c r="P21" s="392"/>
    </row>
    <row r="22" spans="2:16" ht="39.75" customHeight="1" x14ac:dyDescent="0.3">
      <c r="B22" s="341" t="s">
        <v>816</v>
      </c>
      <c r="C22" s="393" t="s">
        <v>817</v>
      </c>
      <c r="D22" s="388"/>
      <c r="E22" s="388"/>
      <c r="F22" s="388"/>
      <c r="G22" s="388"/>
      <c r="H22" s="388"/>
      <c r="I22" s="388"/>
      <c r="J22" s="388"/>
      <c r="K22" s="388"/>
      <c r="L22" s="388"/>
      <c r="M22" s="388"/>
      <c r="N22" s="389"/>
      <c r="O22" s="391" t="s">
        <v>805</v>
      </c>
      <c r="P22" s="392"/>
    </row>
    <row r="23" spans="2:16" ht="14.25" customHeight="1" x14ac:dyDescent="0.3">
      <c r="B23" s="342" t="s">
        <v>818</v>
      </c>
      <c r="C23" s="394" t="s">
        <v>805</v>
      </c>
      <c r="D23" s="395"/>
      <c r="E23" s="395"/>
      <c r="F23" s="395"/>
      <c r="G23" s="395"/>
      <c r="H23" s="395"/>
      <c r="I23" s="395"/>
      <c r="J23" s="395"/>
      <c r="K23" s="395"/>
      <c r="L23" s="395"/>
      <c r="M23" s="395"/>
      <c r="N23" s="395"/>
      <c r="O23" s="395"/>
      <c r="P23" s="396"/>
    </row>
    <row r="24" spans="2:16" ht="19.5" customHeight="1" x14ac:dyDescent="0.3">
      <c r="B24" s="397" t="s">
        <v>819</v>
      </c>
      <c r="C24" s="398"/>
      <c r="D24" s="398"/>
      <c r="E24" s="398"/>
      <c r="F24" s="398"/>
      <c r="G24" s="398"/>
      <c r="H24" s="398"/>
      <c r="I24" s="398"/>
      <c r="J24" s="398"/>
      <c r="K24" s="398"/>
      <c r="L24" s="398"/>
      <c r="M24" s="398"/>
      <c r="N24" s="398"/>
      <c r="O24" s="398"/>
      <c r="P24" s="399"/>
    </row>
    <row r="25" spans="2:16" ht="57.75" customHeight="1" x14ac:dyDescent="0.3">
      <c r="B25" s="400" t="s">
        <v>820</v>
      </c>
      <c r="C25" s="401"/>
      <c r="D25" s="401"/>
      <c r="E25" s="401"/>
      <c r="F25" s="402"/>
      <c r="G25" s="403" t="s">
        <v>821</v>
      </c>
      <c r="H25" s="401"/>
      <c r="I25" s="401"/>
      <c r="J25" s="401"/>
      <c r="K25" s="402"/>
      <c r="L25" s="404" t="s">
        <v>822</v>
      </c>
      <c r="M25" s="388"/>
      <c r="N25" s="388"/>
      <c r="O25" s="388"/>
      <c r="P25" s="392"/>
    </row>
    <row r="26" spans="2:16" ht="19.5" customHeight="1" x14ac:dyDescent="0.3">
      <c r="B26" s="441"/>
      <c r="C26" s="395"/>
      <c r="D26" s="395"/>
      <c r="E26" s="395"/>
      <c r="F26" s="415"/>
      <c r="G26" s="442"/>
      <c r="H26" s="395"/>
      <c r="I26" s="395"/>
      <c r="J26" s="395"/>
      <c r="K26" s="415"/>
      <c r="L26" s="443"/>
      <c r="M26" s="444"/>
      <c r="N26" s="444"/>
      <c r="O26" s="444"/>
      <c r="P26" s="445"/>
    </row>
    <row r="27" spans="2:16" ht="19.5" customHeight="1" x14ac:dyDescent="0.3">
      <c r="B27" s="397" t="s">
        <v>823</v>
      </c>
      <c r="C27" s="398"/>
      <c r="D27" s="398"/>
      <c r="E27" s="398"/>
      <c r="F27" s="398"/>
      <c r="G27" s="398"/>
      <c r="H27" s="398"/>
      <c r="I27" s="398"/>
      <c r="J27" s="398"/>
      <c r="K27" s="398"/>
      <c r="L27" s="398"/>
      <c r="M27" s="398"/>
      <c r="N27" s="398"/>
      <c r="O27" s="398"/>
      <c r="P27" s="399"/>
    </row>
    <row r="28" spans="2:16" ht="19.5" customHeight="1" x14ac:dyDescent="0.3">
      <c r="B28" s="446" t="s">
        <v>824</v>
      </c>
      <c r="C28" s="388"/>
      <c r="D28" s="388"/>
      <c r="E28" s="388"/>
      <c r="F28" s="388"/>
      <c r="G28" s="388"/>
      <c r="H28" s="388"/>
      <c r="I28" s="428"/>
      <c r="J28" s="447" t="s">
        <v>346</v>
      </c>
      <c r="K28" s="388"/>
      <c r="L28" s="388"/>
      <c r="M28" s="388"/>
      <c r="N28" s="388"/>
      <c r="O28" s="388"/>
      <c r="P28" s="392"/>
    </row>
    <row r="29" spans="2:16" ht="19.5" customHeight="1" x14ac:dyDescent="0.3">
      <c r="B29" s="451"/>
      <c r="C29" s="444"/>
      <c r="D29" s="444"/>
      <c r="E29" s="444"/>
      <c r="F29" s="444"/>
      <c r="G29" s="444"/>
      <c r="H29" s="444"/>
      <c r="I29" s="452"/>
      <c r="J29" s="448"/>
      <c r="K29" s="444"/>
      <c r="L29" s="444"/>
      <c r="M29" s="444"/>
      <c r="N29" s="444"/>
      <c r="O29" s="444"/>
      <c r="P29" s="445"/>
    </row>
    <row r="30" spans="2:16" ht="19.5" customHeight="1" x14ac:dyDescent="0.3">
      <c r="B30" s="369" t="s">
        <v>60</v>
      </c>
      <c r="C30" s="370"/>
      <c r="D30" s="370"/>
      <c r="E30" s="370"/>
      <c r="F30" s="370"/>
      <c r="G30" s="370"/>
      <c r="H30" s="370"/>
      <c r="I30" s="370"/>
      <c r="J30" s="370"/>
      <c r="K30" s="370"/>
      <c r="L30" s="370"/>
      <c r="M30" s="370"/>
      <c r="N30" s="370"/>
      <c r="O30" s="370"/>
      <c r="P30" s="386"/>
    </row>
    <row r="31" spans="2:16" ht="19.5" customHeight="1" x14ac:dyDescent="0.3">
      <c r="B31" s="397" t="s">
        <v>825</v>
      </c>
      <c r="C31" s="398"/>
      <c r="D31" s="398"/>
      <c r="E31" s="398"/>
      <c r="F31" s="398"/>
      <c r="G31" s="398"/>
      <c r="H31" s="398"/>
      <c r="I31" s="398"/>
      <c r="J31" s="398"/>
      <c r="K31" s="398"/>
      <c r="L31" s="398"/>
      <c r="M31" s="398"/>
      <c r="N31" s="398"/>
      <c r="O31" s="398"/>
      <c r="P31" s="399"/>
    </row>
    <row r="32" spans="2:16" ht="19.5" customHeight="1" x14ac:dyDescent="0.3">
      <c r="B32" s="419" t="s">
        <v>826</v>
      </c>
      <c r="C32" s="430"/>
      <c r="D32" s="438"/>
      <c r="E32" s="429" t="s">
        <v>827</v>
      </c>
      <c r="F32" s="438"/>
      <c r="G32" s="429" t="s">
        <v>828</v>
      </c>
      <c r="H32" s="430"/>
      <c r="I32" s="438"/>
      <c r="J32" s="429" t="s">
        <v>829</v>
      </c>
      <c r="K32" s="438"/>
      <c r="L32" s="429" t="s">
        <v>830</v>
      </c>
      <c r="M32" s="430"/>
      <c r="N32" s="438"/>
      <c r="O32" s="429" t="s">
        <v>831</v>
      </c>
      <c r="P32" s="431"/>
    </row>
    <row r="33" spans="2:16" ht="19.5" customHeight="1" x14ac:dyDescent="0.3">
      <c r="B33" s="421"/>
      <c r="C33" s="433"/>
      <c r="D33" s="450"/>
      <c r="E33" s="432"/>
      <c r="F33" s="450"/>
      <c r="G33" s="432"/>
      <c r="H33" s="433"/>
      <c r="I33" s="450"/>
      <c r="J33" s="432"/>
      <c r="K33" s="450"/>
      <c r="L33" s="432"/>
      <c r="M33" s="433"/>
      <c r="N33" s="450"/>
      <c r="O33" s="432"/>
      <c r="P33" s="434"/>
    </row>
    <row r="34" spans="2:16" ht="19.5" customHeight="1" x14ac:dyDescent="0.3">
      <c r="B34" s="423"/>
      <c r="C34" s="436"/>
      <c r="D34" s="439"/>
      <c r="E34" s="435"/>
      <c r="F34" s="439"/>
      <c r="G34" s="435"/>
      <c r="H34" s="436"/>
      <c r="I34" s="439"/>
      <c r="J34" s="435"/>
      <c r="K34" s="439"/>
      <c r="L34" s="435"/>
      <c r="M34" s="436"/>
      <c r="N34" s="439"/>
      <c r="O34" s="435"/>
      <c r="P34" s="437"/>
    </row>
    <row r="35" spans="2:16" ht="19.5" customHeight="1" x14ac:dyDescent="0.3">
      <c r="B35" s="441"/>
      <c r="C35" s="395"/>
      <c r="D35" s="415"/>
      <c r="E35" s="456"/>
      <c r="F35" s="415"/>
      <c r="G35" s="442"/>
      <c r="H35" s="395"/>
      <c r="I35" s="415"/>
      <c r="J35" s="442"/>
      <c r="K35" s="415"/>
      <c r="L35" s="442"/>
      <c r="M35" s="395"/>
      <c r="N35" s="415"/>
      <c r="O35" s="442"/>
      <c r="P35" s="396"/>
    </row>
    <row r="36" spans="2:16" ht="19.5" customHeight="1" x14ac:dyDescent="0.3">
      <c r="B36" s="369" t="s">
        <v>66</v>
      </c>
      <c r="C36" s="370"/>
      <c r="D36" s="370"/>
      <c r="E36" s="370"/>
      <c r="F36" s="370"/>
      <c r="G36" s="370"/>
      <c r="H36" s="370"/>
      <c r="I36" s="370"/>
      <c r="J36" s="370"/>
      <c r="K36" s="370"/>
      <c r="L36" s="370"/>
      <c r="M36" s="370"/>
      <c r="N36" s="370"/>
      <c r="O36" s="370"/>
      <c r="P36" s="386"/>
    </row>
    <row r="37" spans="2:16" ht="19.5" customHeight="1" x14ac:dyDescent="0.3">
      <c r="B37" s="466" t="s">
        <v>832</v>
      </c>
      <c r="C37" s="374"/>
      <c r="D37" s="374"/>
      <c r="E37" s="374"/>
      <c r="F37" s="374"/>
      <c r="G37" s="374"/>
      <c r="H37" s="374"/>
      <c r="I37" s="374"/>
      <c r="J37" s="374"/>
      <c r="K37" s="374"/>
      <c r="L37" s="374"/>
      <c r="M37" s="374"/>
      <c r="N37" s="374"/>
      <c r="O37" s="374"/>
      <c r="P37" s="368"/>
    </row>
    <row r="38" spans="2:16" ht="111" customHeight="1" x14ac:dyDescent="0.3">
      <c r="B38" s="453" t="s">
        <v>833</v>
      </c>
      <c r="C38" s="454"/>
      <c r="D38" s="343" t="s">
        <v>834</v>
      </c>
      <c r="E38" s="343" t="s">
        <v>835</v>
      </c>
      <c r="F38" s="344" t="s">
        <v>836</v>
      </c>
      <c r="G38" s="467" t="s">
        <v>837</v>
      </c>
      <c r="H38" s="468"/>
      <c r="I38" s="345" t="s">
        <v>838</v>
      </c>
      <c r="J38" s="344" t="s">
        <v>839</v>
      </c>
      <c r="K38" s="344" t="s">
        <v>840</v>
      </c>
      <c r="L38" s="344" t="s">
        <v>841</v>
      </c>
      <c r="M38" s="344" t="s">
        <v>842</v>
      </c>
      <c r="N38" s="467" t="s">
        <v>838</v>
      </c>
      <c r="O38" s="468"/>
      <c r="P38" s="346" t="s">
        <v>843</v>
      </c>
    </row>
    <row r="39" spans="2:16" ht="14.25" customHeight="1" x14ac:dyDescent="0.3">
      <c r="B39" s="455"/>
      <c r="C39" s="428"/>
      <c r="D39" s="347"/>
      <c r="E39" s="347"/>
      <c r="F39" s="347"/>
      <c r="G39" s="440"/>
      <c r="H39" s="428"/>
      <c r="I39" s="348"/>
      <c r="J39" s="347"/>
      <c r="K39" s="347"/>
      <c r="L39" s="347"/>
      <c r="M39" s="347"/>
      <c r="N39" s="440"/>
      <c r="O39" s="389"/>
      <c r="P39" s="349"/>
    </row>
    <row r="40" spans="2:16" ht="22.5" customHeight="1" x14ac:dyDescent="0.3">
      <c r="B40" s="350"/>
      <c r="C40" s="474"/>
      <c r="D40" s="444"/>
      <c r="E40" s="444"/>
      <c r="F40" s="444"/>
      <c r="G40" s="444"/>
      <c r="H40" s="444"/>
      <c r="I40" s="444"/>
      <c r="J40" s="444"/>
      <c r="K40" s="444"/>
      <c r="L40" s="444"/>
      <c r="M40" s="444"/>
      <c r="N40" s="444"/>
      <c r="O40" s="444"/>
      <c r="P40" s="445"/>
    </row>
    <row r="41" spans="2:16" ht="14.25" customHeight="1" x14ac:dyDescent="0.3">
      <c r="B41" s="369" t="s">
        <v>79</v>
      </c>
      <c r="C41" s="370"/>
      <c r="D41" s="370"/>
      <c r="E41" s="370"/>
      <c r="F41" s="370"/>
      <c r="G41" s="370"/>
      <c r="H41" s="370"/>
      <c r="I41" s="370"/>
      <c r="J41" s="370"/>
      <c r="K41" s="370"/>
      <c r="L41" s="370"/>
      <c r="M41" s="370"/>
      <c r="N41" s="370"/>
      <c r="O41" s="370"/>
      <c r="P41" s="386"/>
    </row>
    <row r="42" spans="2:16" ht="19.5" customHeight="1" x14ac:dyDescent="0.3">
      <c r="B42" s="397" t="s">
        <v>80</v>
      </c>
      <c r="C42" s="398"/>
      <c r="D42" s="398"/>
      <c r="E42" s="398"/>
      <c r="F42" s="398"/>
      <c r="G42" s="398"/>
      <c r="H42" s="398"/>
      <c r="I42" s="398"/>
      <c r="J42" s="398"/>
      <c r="K42" s="398"/>
      <c r="L42" s="398"/>
      <c r="M42" s="398"/>
      <c r="N42" s="398"/>
      <c r="O42" s="398"/>
      <c r="P42" s="399"/>
    </row>
    <row r="43" spans="2:16" ht="19.5" customHeight="1" x14ac:dyDescent="0.3">
      <c r="B43" s="449" t="s">
        <v>844</v>
      </c>
      <c r="C43" s="388"/>
      <c r="D43" s="388"/>
      <c r="E43" s="388"/>
      <c r="F43" s="428"/>
      <c r="G43" s="404" t="s">
        <v>845</v>
      </c>
      <c r="H43" s="388"/>
      <c r="I43" s="388"/>
      <c r="J43" s="388"/>
      <c r="K43" s="428"/>
      <c r="L43" s="404" t="s">
        <v>846</v>
      </c>
      <c r="M43" s="388"/>
      <c r="N43" s="388"/>
      <c r="O43" s="388"/>
      <c r="P43" s="392"/>
    </row>
    <row r="44" spans="2:16" ht="19.5" customHeight="1" x14ac:dyDescent="0.3">
      <c r="B44" s="455">
        <v>5</v>
      </c>
      <c r="C44" s="388"/>
      <c r="D44" s="388"/>
      <c r="E44" s="388"/>
      <c r="F44" s="428"/>
      <c r="G44" s="457" t="s">
        <v>847</v>
      </c>
      <c r="H44" s="388"/>
      <c r="I44" s="388"/>
      <c r="J44" s="388"/>
      <c r="K44" s="428"/>
      <c r="L44" s="457" t="s">
        <v>848</v>
      </c>
      <c r="M44" s="388"/>
      <c r="N44" s="388"/>
      <c r="O44" s="388"/>
      <c r="P44" s="392"/>
    </row>
    <row r="45" spans="2:16" ht="19.5" customHeight="1" x14ac:dyDescent="0.3">
      <c r="B45" s="458" t="s">
        <v>849</v>
      </c>
      <c r="C45" s="388"/>
      <c r="D45" s="388"/>
      <c r="E45" s="388"/>
      <c r="F45" s="388"/>
      <c r="G45" s="388"/>
      <c r="H45" s="388"/>
      <c r="I45" s="388"/>
      <c r="J45" s="388"/>
      <c r="K45" s="388"/>
      <c r="L45" s="388"/>
      <c r="M45" s="388"/>
      <c r="N45" s="388"/>
      <c r="O45" s="388"/>
      <c r="P45" s="392"/>
    </row>
    <row r="46" spans="2:16" ht="19.5" customHeight="1" x14ac:dyDescent="0.3">
      <c r="B46" s="449" t="s">
        <v>850</v>
      </c>
      <c r="C46" s="388"/>
      <c r="D46" s="388"/>
      <c r="E46" s="388"/>
      <c r="F46" s="428"/>
      <c r="G46" s="404" t="s">
        <v>851</v>
      </c>
      <c r="H46" s="388"/>
      <c r="I46" s="388"/>
      <c r="J46" s="388"/>
      <c r="K46" s="428"/>
      <c r="L46" s="404" t="s">
        <v>846</v>
      </c>
      <c r="M46" s="388"/>
      <c r="N46" s="388"/>
      <c r="O46" s="388"/>
      <c r="P46" s="392"/>
    </row>
    <row r="47" spans="2:16" ht="19.5" customHeight="1" x14ac:dyDescent="0.3">
      <c r="B47" s="455">
        <v>6</v>
      </c>
      <c r="C47" s="388"/>
      <c r="D47" s="388"/>
      <c r="E47" s="388"/>
      <c r="F47" s="428"/>
      <c r="G47" s="457">
        <v>15</v>
      </c>
      <c r="H47" s="388"/>
      <c r="I47" s="388"/>
      <c r="J47" s="388"/>
      <c r="K47" s="428"/>
      <c r="L47" s="457" t="s">
        <v>91</v>
      </c>
      <c r="M47" s="388"/>
      <c r="N47" s="388"/>
      <c r="O47" s="388"/>
      <c r="P47" s="392"/>
    </row>
    <row r="48" spans="2:16" ht="19.5" customHeight="1" x14ac:dyDescent="0.3">
      <c r="B48" s="458" t="s">
        <v>852</v>
      </c>
      <c r="C48" s="388"/>
      <c r="D48" s="388"/>
      <c r="E48" s="388"/>
      <c r="F48" s="388"/>
      <c r="G48" s="388"/>
      <c r="H48" s="388"/>
      <c r="I48" s="388"/>
      <c r="J48" s="388"/>
      <c r="K48" s="388"/>
      <c r="L48" s="388"/>
      <c r="M48" s="388"/>
      <c r="N48" s="388"/>
      <c r="O48" s="388"/>
      <c r="P48" s="392"/>
    </row>
    <row r="49" spans="1:26" ht="19.5" customHeight="1" x14ac:dyDescent="0.3">
      <c r="B49" s="449" t="s">
        <v>853</v>
      </c>
      <c r="C49" s="388"/>
      <c r="D49" s="388"/>
      <c r="E49" s="388"/>
      <c r="F49" s="428"/>
      <c r="G49" s="404" t="s">
        <v>854</v>
      </c>
      <c r="H49" s="388"/>
      <c r="I49" s="388"/>
      <c r="J49" s="388"/>
      <c r="K49" s="428"/>
      <c r="L49" s="404" t="s">
        <v>855</v>
      </c>
      <c r="M49" s="388"/>
      <c r="N49" s="388"/>
      <c r="O49" s="388"/>
      <c r="P49" s="392"/>
    </row>
    <row r="50" spans="1:26" ht="19.5" customHeight="1" x14ac:dyDescent="0.3">
      <c r="B50" s="465" t="s">
        <v>856</v>
      </c>
      <c r="C50" s="395"/>
      <c r="D50" s="395"/>
      <c r="E50" s="395"/>
      <c r="F50" s="415"/>
      <c r="G50" s="442">
        <v>25</v>
      </c>
      <c r="H50" s="395"/>
      <c r="I50" s="395"/>
      <c r="J50" s="395"/>
      <c r="K50" s="415"/>
      <c r="L50" s="459">
        <v>0.15</v>
      </c>
      <c r="M50" s="395"/>
      <c r="N50" s="395"/>
      <c r="O50" s="395"/>
      <c r="P50" s="396"/>
    </row>
    <row r="51" spans="1:26" ht="19.5" customHeight="1" x14ac:dyDescent="0.3">
      <c r="B51" s="464" t="s">
        <v>105</v>
      </c>
      <c r="C51" s="444"/>
      <c r="D51" s="444"/>
      <c r="E51" s="444"/>
      <c r="F51" s="444"/>
      <c r="G51" s="444"/>
      <c r="H51" s="444"/>
      <c r="I51" s="444"/>
      <c r="J51" s="444"/>
      <c r="K51" s="444"/>
      <c r="L51" s="444"/>
      <c r="M51" s="444"/>
      <c r="N51" s="444"/>
      <c r="O51" s="444"/>
      <c r="P51" s="445"/>
    </row>
    <row r="52" spans="1:26" ht="19.5" customHeight="1" x14ac:dyDescent="0.3">
      <c r="B52" s="397" t="s">
        <v>857</v>
      </c>
      <c r="C52" s="398"/>
      <c r="D52" s="398"/>
      <c r="E52" s="398"/>
      <c r="F52" s="398"/>
      <c r="G52" s="398"/>
      <c r="H52" s="398"/>
      <c r="I52" s="398"/>
      <c r="J52" s="398"/>
      <c r="K52" s="398"/>
      <c r="L52" s="398"/>
      <c r="M52" s="398"/>
      <c r="N52" s="398"/>
      <c r="O52" s="398"/>
      <c r="P52" s="399"/>
    </row>
    <row r="53" spans="1:26" ht="19.5" customHeight="1" x14ac:dyDescent="0.3">
      <c r="B53" s="419" t="s">
        <v>858</v>
      </c>
      <c r="C53" s="430"/>
      <c r="D53" s="430"/>
      <c r="E53" s="438"/>
      <c r="F53" s="429" t="s">
        <v>859</v>
      </c>
      <c r="G53" s="430"/>
      <c r="H53" s="430"/>
      <c r="I53" s="438"/>
      <c r="J53" s="429" t="s">
        <v>860</v>
      </c>
      <c r="K53" s="430"/>
      <c r="L53" s="438"/>
      <c r="M53" s="429" t="s">
        <v>861</v>
      </c>
      <c r="N53" s="430"/>
      <c r="O53" s="430"/>
      <c r="P53" s="431"/>
    </row>
    <row r="54" spans="1:26" ht="19.5" customHeight="1" x14ac:dyDescent="0.3">
      <c r="B54" s="421"/>
      <c r="C54" s="433"/>
      <c r="D54" s="433"/>
      <c r="E54" s="450"/>
      <c r="F54" s="432"/>
      <c r="G54" s="433"/>
      <c r="H54" s="433"/>
      <c r="I54" s="450"/>
      <c r="J54" s="432"/>
      <c r="K54" s="433"/>
      <c r="L54" s="450"/>
      <c r="M54" s="432"/>
      <c r="N54" s="433"/>
      <c r="O54" s="433"/>
      <c r="P54" s="434"/>
    </row>
    <row r="55" spans="1:26" ht="19.5" customHeight="1" x14ac:dyDescent="0.3">
      <c r="B55" s="421"/>
      <c r="C55" s="433"/>
      <c r="D55" s="433"/>
      <c r="E55" s="450"/>
      <c r="F55" s="432"/>
      <c r="G55" s="433"/>
      <c r="H55" s="433"/>
      <c r="I55" s="450"/>
      <c r="J55" s="432"/>
      <c r="K55" s="433"/>
      <c r="L55" s="450"/>
      <c r="M55" s="432"/>
      <c r="N55" s="433"/>
      <c r="O55" s="433"/>
      <c r="P55" s="434"/>
    </row>
    <row r="56" spans="1:26" ht="19.5" customHeight="1" x14ac:dyDescent="0.3">
      <c r="B56" s="423"/>
      <c r="C56" s="436"/>
      <c r="D56" s="436"/>
      <c r="E56" s="439"/>
      <c r="F56" s="435"/>
      <c r="G56" s="436"/>
      <c r="H56" s="436"/>
      <c r="I56" s="439"/>
      <c r="J56" s="435"/>
      <c r="K56" s="436"/>
      <c r="L56" s="439"/>
      <c r="M56" s="435"/>
      <c r="N56" s="436"/>
      <c r="O56" s="436"/>
      <c r="P56" s="437"/>
    </row>
    <row r="57" spans="1:26" ht="19.5" customHeight="1" x14ac:dyDescent="0.3">
      <c r="B57" s="455"/>
      <c r="C57" s="388"/>
      <c r="D57" s="388"/>
      <c r="E57" s="428"/>
      <c r="F57" s="457"/>
      <c r="G57" s="388"/>
      <c r="H57" s="388"/>
      <c r="I57" s="428"/>
      <c r="J57" s="457"/>
      <c r="K57" s="388"/>
      <c r="L57" s="428"/>
      <c r="M57" s="457"/>
      <c r="N57" s="388"/>
      <c r="O57" s="388"/>
      <c r="P57" s="392"/>
    </row>
    <row r="58" spans="1:26" ht="19.5" customHeight="1" x14ac:dyDescent="0.3"/>
    <row r="59" spans="1:26" ht="30" customHeight="1" x14ac:dyDescent="0.3">
      <c r="A59" s="120"/>
      <c r="B59" s="369" t="s">
        <v>862</v>
      </c>
      <c r="C59" s="370"/>
      <c r="D59" s="370"/>
      <c r="E59" s="370"/>
      <c r="F59" s="370"/>
      <c r="G59" s="370"/>
      <c r="H59" s="370"/>
      <c r="I59" s="370"/>
      <c r="J59" s="370"/>
      <c r="K59" s="370"/>
      <c r="L59" s="370"/>
      <c r="M59" s="370"/>
      <c r="N59" s="370"/>
      <c r="O59" s="370"/>
      <c r="P59" s="386"/>
      <c r="Q59" s="120"/>
      <c r="R59" s="120"/>
      <c r="S59" s="120"/>
      <c r="T59" s="120"/>
      <c r="U59" s="120"/>
      <c r="V59" s="120"/>
      <c r="W59" s="120"/>
      <c r="X59" s="120"/>
      <c r="Y59" s="120"/>
      <c r="Z59" s="120"/>
    </row>
    <row r="60" spans="1:26" ht="18" customHeight="1" x14ac:dyDescent="0.3">
      <c r="B60" s="477" t="s">
        <v>863</v>
      </c>
      <c r="C60" s="478"/>
      <c r="D60" s="462" t="s">
        <v>864</v>
      </c>
      <c r="E60" s="398"/>
      <c r="F60" s="463"/>
      <c r="G60" s="460" t="s">
        <v>865</v>
      </c>
      <c r="H60" s="462" t="s">
        <v>866</v>
      </c>
      <c r="I60" s="463"/>
      <c r="J60" s="460" t="s">
        <v>867</v>
      </c>
      <c r="K60" s="460" t="s">
        <v>868</v>
      </c>
      <c r="L60" s="460" t="s">
        <v>869</v>
      </c>
      <c r="M60" s="460" t="s">
        <v>870</v>
      </c>
      <c r="N60" s="460" t="s">
        <v>871</v>
      </c>
      <c r="O60" s="460" t="s">
        <v>872</v>
      </c>
      <c r="P60" s="475" t="s">
        <v>873</v>
      </c>
    </row>
    <row r="61" spans="1:26" ht="72.75" customHeight="1" x14ac:dyDescent="0.3">
      <c r="B61" s="423"/>
      <c r="C61" s="439"/>
      <c r="D61" s="351" t="s">
        <v>874</v>
      </c>
      <c r="E61" s="351" t="s">
        <v>875</v>
      </c>
      <c r="F61" s="351" t="s">
        <v>876</v>
      </c>
      <c r="G61" s="461"/>
      <c r="H61" s="352" t="s">
        <v>877</v>
      </c>
      <c r="I61" s="352" t="s">
        <v>878</v>
      </c>
      <c r="J61" s="461"/>
      <c r="K61" s="461"/>
      <c r="L61" s="461"/>
      <c r="M61" s="461"/>
      <c r="N61" s="461"/>
      <c r="O61" s="461"/>
      <c r="P61" s="476"/>
    </row>
    <row r="62" spans="1:26" ht="14.25" customHeight="1" x14ac:dyDescent="0.3">
      <c r="B62" s="469" t="s">
        <v>879</v>
      </c>
      <c r="C62" s="428"/>
      <c r="D62" s="353"/>
      <c r="E62" s="353"/>
      <c r="F62" s="353"/>
      <c r="G62" s="354"/>
      <c r="H62" s="353"/>
      <c r="I62" s="353"/>
      <c r="J62" s="353"/>
      <c r="K62" s="353"/>
      <c r="L62" s="353"/>
      <c r="M62" s="353"/>
      <c r="N62" s="353"/>
      <c r="O62" s="353"/>
      <c r="P62" s="355"/>
    </row>
    <row r="63" spans="1:26" ht="14.25" customHeight="1" x14ac:dyDescent="0.3">
      <c r="A63" s="269"/>
      <c r="B63" s="470" t="s">
        <v>880</v>
      </c>
      <c r="C63" s="415"/>
      <c r="D63" s="356"/>
      <c r="E63" s="356"/>
      <c r="F63" s="356"/>
      <c r="G63" s="356"/>
      <c r="H63" s="356"/>
      <c r="I63" s="356"/>
      <c r="J63" s="356"/>
      <c r="K63" s="356"/>
      <c r="L63" s="356"/>
      <c r="M63" s="356"/>
      <c r="N63" s="356"/>
      <c r="O63" s="356"/>
      <c r="P63" s="357"/>
      <c r="Q63" s="269"/>
      <c r="R63" s="269"/>
      <c r="S63" s="269"/>
      <c r="T63" s="269"/>
      <c r="U63" s="269"/>
      <c r="V63" s="269"/>
      <c r="W63" s="269"/>
      <c r="X63" s="269"/>
      <c r="Y63" s="269"/>
      <c r="Z63" s="269"/>
    </row>
    <row r="64" spans="1:26" ht="14.25" customHeight="1" x14ac:dyDescent="0.3">
      <c r="A64" s="269"/>
      <c r="B64" s="471" t="s">
        <v>881</v>
      </c>
      <c r="C64" s="472"/>
      <c r="D64" s="472"/>
      <c r="E64" s="472"/>
      <c r="F64" s="472"/>
      <c r="G64" s="472"/>
      <c r="H64" s="472"/>
      <c r="I64" s="472"/>
      <c r="J64" s="472"/>
      <c r="K64" s="472"/>
      <c r="L64" s="472"/>
      <c r="M64" s="472"/>
      <c r="N64" s="472"/>
      <c r="O64" s="472"/>
      <c r="P64" s="472"/>
      <c r="Q64" s="269"/>
      <c r="R64" s="269"/>
      <c r="S64" s="269"/>
      <c r="T64" s="269"/>
      <c r="U64" s="269"/>
      <c r="V64" s="269"/>
      <c r="W64" s="269"/>
      <c r="X64" s="269"/>
      <c r="Y64" s="269"/>
      <c r="Z64" s="269"/>
    </row>
    <row r="65" spans="2:16" ht="19.5" customHeight="1" x14ac:dyDescent="0.3">
      <c r="B65" s="473" t="s">
        <v>882</v>
      </c>
      <c r="C65" s="433"/>
      <c r="D65" s="433"/>
      <c r="E65" s="433"/>
      <c r="F65" s="433"/>
      <c r="G65" s="433"/>
      <c r="H65" s="433"/>
      <c r="I65" s="433"/>
      <c r="J65" s="433"/>
      <c r="K65" s="433"/>
      <c r="L65" s="433"/>
      <c r="M65" s="433"/>
      <c r="N65" s="433"/>
      <c r="O65" s="433"/>
      <c r="P65" s="433"/>
    </row>
    <row r="66" spans="2:16" ht="19.5" customHeight="1" x14ac:dyDescent="0.3">
      <c r="B66" s="473" t="s">
        <v>883</v>
      </c>
      <c r="C66" s="433"/>
      <c r="D66" s="433"/>
      <c r="E66" s="433"/>
      <c r="F66" s="433"/>
      <c r="G66" s="433"/>
      <c r="H66" s="433"/>
      <c r="I66" s="433"/>
      <c r="J66" s="433"/>
      <c r="K66" s="433"/>
      <c r="L66" s="433"/>
      <c r="M66" s="433"/>
      <c r="N66" s="433"/>
      <c r="O66" s="433"/>
      <c r="P66" s="433"/>
    </row>
    <row r="67" spans="2:16" ht="19.5" customHeight="1" x14ac:dyDescent="0.3"/>
    <row r="68" spans="2:16" ht="14.25" customHeight="1" x14ac:dyDescent="0.3"/>
    <row r="69" spans="2:16" ht="14.25" customHeight="1" x14ac:dyDescent="0.3"/>
    <row r="70" spans="2:16" ht="14.25" customHeight="1" x14ac:dyDescent="0.3"/>
    <row r="71" spans="2:16" ht="14.25" customHeight="1" x14ac:dyDescent="0.3"/>
    <row r="72" spans="2:16" ht="14.25" customHeight="1" x14ac:dyDescent="0.3"/>
    <row r="73" spans="2:16" ht="14.25" customHeight="1" x14ac:dyDescent="0.3"/>
    <row r="74" spans="2:16" ht="14.25" customHeight="1" x14ac:dyDescent="0.3"/>
    <row r="75" spans="2:16" ht="14.25" customHeight="1" x14ac:dyDescent="0.3"/>
    <row r="76" spans="2:16" ht="14.25" customHeight="1" x14ac:dyDescent="0.3"/>
    <row r="77" spans="2:16" ht="14.25" customHeight="1" x14ac:dyDescent="0.3"/>
    <row r="78" spans="2:16" ht="14.25" customHeight="1" x14ac:dyDescent="0.3"/>
    <row r="79" spans="2:16" ht="14.25" customHeight="1" x14ac:dyDescent="0.3"/>
    <row r="80" spans="2:16"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mergeCells count="132">
    <mergeCell ref="B45:P45"/>
    <mergeCell ref="B62:C62"/>
    <mergeCell ref="B63:C63"/>
    <mergeCell ref="B64:P64"/>
    <mergeCell ref="B65:P65"/>
    <mergeCell ref="B66:P66"/>
    <mergeCell ref="C40:P40"/>
    <mergeCell ref="B41:P41"/>
    <mergeCell ref="B42:P42"/>
    <mergeCell ref="B43:F43"/>
    <mergeCell ref="G43:K43"/>
    <mergeCell ref="L43:P43"/>
    <mergeCell ref="B44:F44"/>
    <mergeCell ref="G44:K44"/>
    <mergeCell ref="L44:P44"/>
    <mergeCell ref="B59:P59"/>
    <mergeCell ref="L60:L61"/>
    <mergeCell ref="M60:M61"/>
    <mergeCell ref="N60:N61"/>
    <mergeCell ref="O60:O61"/>
    <mergeCell ref="P60:P61"/>
    <mergeCell ref="B57:E57"/>
    <mergeCell ref="B60:C61"/>
    <mergeCell ref="D60:F60"/>
    <mergeCell ref="J35:K35"/>
    <mergeCell ref="L35:N35"/>
    <mergeCell ref="O35:P35"/>
    <mergeCell ref="B36:P36"/>
    <mergeCell ref="B37:P37"/>
    <mergeCell ref="G38:H38"/>
    <mergeCell ref="N38:O38"/>
    <mergeCell ref="G39:H39"/>
    <mergeCell ref="N39:O39"/>
    <mergeCell ref="G60:G61"/>
    <mergeCell ref="H60:I60"/>
    <mergeCell ref="J60:J61"/>
    <mergeCell ref="K60:K61"/>
    <mergeCell ref="B51:P51"/>
    <mergeCell ref="B52:P52"/>
    <mergeCell ref="J57:L57"/>
    <mergeCell ref="M57:P57"/>
    <mergeCell ref="B50:F50"/>
    <mergeCell ref="B53:E56"/>
    <mergeCell ref="F53:I56"/>
    <mergeCell ref="J53:L56"/>
    <mergeCell ref="M53:P56"/>
    <mergeCell ref="F57:I57"/>
    <mergeCell ref="B47:F47"/>
    <mergeCell ref="G47:K47"/>
    <mergeCell ref="L47:P47"/>
    <mergeCell ref="B48:P48"/>
    <mergeCell ref="B49:F49"/>
    <mergeCell ref="G49:K49"/>
    <mergeCell ref="L49:P49"/>
    <mergeCell ref="G50:K50"/>
    <mergeCell ref="L50:P50"/>
    <mergeCell ref="B26:F26"/>
    <mergeCell ref="G26:K26"/>
    <mergeCell ref="L26:P26"/>
    <mergeCell ref="B27:P27"/>
    <mergeCell ref="B28:I28"/>
    <mergeCell ref="J28:P28"/>
    <mergeCell ref="J29:P29"/>
    <mergeCell ref="B46:F46"/>
    <mergeCell ref="G46:K46"/>
    <mergeCell ref="L46:P46"/>
    <mergeCell ref="L32:N34"/>
    <mergeCell ref="O32:P34"/>
    <mergeCell ref="B29:I29"/>
    <mergeCell ref="B30:P30"/>
    <mergeCell ref="B31:P31"/>
    <mergeCell ref="B32:D34"/>
    <mergeCell ref="E32:F34"/>
    <mergeCell ref="G32:I34"/>
    <mergeCell ref="J32:K34"/>
    <mergeCell ref="B35:D35"/>
    <mergeCell ref="B38:C38"/>
    <mergeCell ref="B39:C39"/>
    <mergeCell ref="E35:F35"/>
    <mergeCell ref="G35:I35"/>
    <mergeCell ref="F14:G14"/>
    <mergeCell ref="H14:I14"/>
    <mergeCell ref="J14:K14"/>
    <mergeCell ref="L14:M14"/>
    <mergeCell ref="N14:P14"/>
    <mergeCell ref="C16:N16"/>
    <mergeCell ref="O16:P16"/>
    <mergeCell ref="C17:N17"/>
    <mergeCell ref="O17:P17"/>
    <mergeCell ref="B10:P10"/>
    <mergeCell ref="D11:M11"/>
    <mergeCell ref="N11:P13"/>
    <mergeCell ref="D12:E13"/>
    <mergeCell ref="L12:M13"/>
    <mergeCell ref="F12:I12"/>
    <mergeCell ref="J12:K13"/>
    <mergeCell ref="F13:G13"/>
    <mergeCell ref="H13:I13"/>
    <mergeCell ref="C23:P23"/>
    <mergeCell ref="B24:P24"/>
    <mergeCell ref="B25:F25"/>
    <mergeCell ref="G25:K25"/>
    <mergeCell ref="L25:P25"/>
    <mergeCell ref="B2:P2"/>
    <mergeCell ref="B4:P4"/>
    <mergeCell ref="E5:F5"/>
    <mergeCell ref="G5:I5"/>
    <mergeCell ref="J5:K5"/>
    <mergeCell ref="L5:N5"/>
    <mergeCell ref="O5:P5"/>
    <mergeCell ref="B5:D5"/>
    <mergeCell ref="B6:D6"/>
    <mergeCell ref="E6:F6"/>
    <mergeCell ref="G6:I6"/>
    <mergeCell ref="J6:K6"/>
    <mergeCell ref="L6:N6"/>
    <mergeCell ref="O6:P6"/>
    <mergeCell ref="B11:C13"/>
    <mergeCell ref="B14:C14"/>
    <mergeCell ref="D14:E14"/>
    <mergeCell ref="B8:P8"/>
    <mergeCell ref="B9:P9"/>
    <mergeCell ref="C18:N18"/>
    <mergeCell ref="C19:N19"/>
    <mergeCell ref="O19:P19"/>
    <mergeCell ref="C20:N20"/>
    <mergeCell ref="O20:P20"/>
    <mergeCell ref="C21:N21"/>
    <mergeCell ref="O21:P21"/>
    <mergeCell ref="C22:N22"/>
    <mergeCell ref="O22:P22"/>
    <mergeCell ref="O18:P18"/>
  </mergeCells>
  <printOptions horizontalCentered="1" verticalCentered="1"/>
  <pageMargins left="0" right="3.937007874015748E-2" top="0.15748031496062992" bottom="0.15748031496062992" header="0" footer="0"/>
  <pageSetup paperSize="9" orientation="portrait"/>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327981-4787-44EC-98BA-47D66111A35F}">
  <sheetPr codeName="Hoja43"/>
  <dimension ref="A1:K57"/>
  <sheetViews>
    <sheetView tabSelected="1" topLeftCell="A31" workbookViewId="0">
      <selection activeCell="C5" sqref="C5"/>
    </sheetView>
  </sheetViews>
  <sheetFormatPr baseColWidth="10" defaultRowHeight="14.4" x14ac:dyDescent="0.3"/>
  <cols>
    <col min="2" max="2" width="38.44140625" customWidth="1"/>
  </cols>
  <sheetData>
    <row r="1" spans="1:11" x14ac:dyDescent="0.3">
      <c r="A1" s="360" t="s">
        <v>789</v>
      </c>
      <c r="B1" s="360" t="s">
        <v>893</v>
      </c>
      <c r="C1" s="360" t="s">
        <v>892</v>
      </c>
      <c r="D1" s="360" t="s">
        <v>894</v>
      </c>
      <c r="E1" s="360" t="s">
        <v>5</v>
      </c>
      <c r="F1" s="360" t="s">
        <v>895</v>
      </c>
      <c r="G1" s="360" t="s">
        <v>896</v>
      </c>
      <c r="H1" s="360" t="s">
        <v>897</v>
      </c>
      <c r="I1" s="360" t="s">
        <v>898</v>
      </c>
      <c r="J1" s="360" t="s">
        <v>899</v>
      </c>
      <c r="K1" s="360" t="s">
        <v>900</v>
      </c>
    </row>
    <row r="2" spans="1:11" x14ac:dyDescent="0.3">
      <c r="A2" s="360" t="s">
        <v>901</v>
      </c>
      <c r="B2" s="360" t="s">
        <v>903</v>
      </c>
      <c r="C2" t="str">
        <f>IF(CONFIGURACION="","",CONFIGURACION)</f>
        <v>B</v>
      </c>
    </row>
    <row r="3" spans="1:11" x14ac:dyDescent="0.3">
      <c r="A3" s="360" t="s">
        <v>901</v>
      </c>
      <c r="B3" s="360" t="s">
        <v>902</v>
      </c>
      <c r="C3" t="str">
        <f>IF(NRI="","",NRI)</f>
        <v>Medio 3</v>
      </c>
    </row>
    <row r="4" spans="1:11" x14ac:dyDescent="0.3">
      <c r="A4" s="360" t="s">
        <v>901</v>
      </c>
      <c r="B4" s="360" t="s">
        <v>904</v>
      </c>
      <c r="C4" t="str">
        <f>IF('Textos Memoria'!B3="","",'Textos Memoria'!B3)</f>
        <v>La casa buena</v>
      </c>
    </row>
    <row r="5" spans="1:11" x14ac:dyDescent="0.3">
      <c r="A5" s="360" t="s">
        <v>901</v>
      </c>
      <c r="B5" s="361" t="s">
        <v>915</v>
      </c>
      <c r="C5" t="str">
        <f>IF('Textos Memoria'!B4="","",'Textos Memoria'!B4)</f>
        <v/>
      </c>
      <c r="D5" s="361"/>
    </row>
    <row r="6" spans="1:11" x14ac:dyDescent="0.3">
      <c r="A6" s="360" t="s">
        <v>901</v>
      </c>
      <c r="B6" s="361" t="s">
        <v>916</v>
      </c>
      <c r="C6" t="str">
        <f>IF('Textos Memoria'!B5="","",'Textos Memoria'!B5)</f>
        <v/>
      </c>
      <c r="D6" s="361"/>
    </row>
    <row r="7" spans="1:11" x14ac:dyDescent="0.3">
      <c r="A7" s="360" t="s">
        <v>901</v>
      </c>
      <c r="B7" t="s">
        <v>917</v>
      </c>
      <c r="C7" t="str">
        <f>IF('Textos Memoria'!B6="","",'Textos Memoria'!B6)</f>
        <v/>
      </c>
    </row>
    <row r="8" spans="1:11" x14ac:dyDescent="0.3">
      <c r="A8" s="360" t="s">
        <v>901</v>
      </c>
      <c r="B8" t="s">
        <v>919</v>
      </c>
      <c r="C8" t="str">
        <f>IF('Textos Memoria'!B7="","",'Textos Memoria'!B7)</f>
        <v/>
      </c>
    </row>
    <row r="9" spans="1:11" x14ac:dyDescent="0.3">
      <c r="A9" s="360" t="s">
        <v>901</v>
      </c>
      <c r="B9" t="s">
        <v>920</v>
      </c>
      <c r="C9" t="str">
        <f>IF('Textos Memoria'!B8="","",'Textos Memoria'!B8)</f>
        <v/>
      </c>
    </row>
    <row r="10" spans="1:11" x14ac:dyDescent="0.3">
      <c r="A10" s="360" t="s">
        <v>901</v>
      </c>
      <c r="B10" s="361" t="s">
        <v>921</v>
      </c>
      <c r="C10" t="str">
        <f>IF('Textos Memoria'!B9="","",'Textos Memoria'!B9)</f>
        <v/>
      </c>
    </row>
    <row r="11" spans="1:11" x14ac:dyDescent="0.3">
      <c r="A11" s="360" t="s">
        <v>901</v>
      </c>
      <c r="B11" t="s">
        <v>922</v>
      </c>
      <c r="C11" t="str">
        <f>IF('Textos Memoria'!B10="","",'Textos Memoria'!B10)</f>
        <v/>
      </c>
    </row>
    <row r="12" spans="1:11" x14ac:dyDescent="0.3">
      <c r="A12" s="360" t="s">
        <v>901</v>
      </c>
      <c r="B12" t="s">
        <v>923</v>
      </c>
      <c r="C12" t="str">
        <f>IF('Textos Memoria'!B11="","",'Textos Memoria'!B11)</f>
        <v/>
      </c>
    </row>
    <row r="13" spans="1:11" x14ac:dyDescent="0.3">
      <c r="A13" s="360" t="s">
        <v>901</v>
      </c>
      <c r="B13" s="484" t="s">
        <v>924</v>
      </c>
      <c r="C13" t="str">
        <f>IF('Textos Memoria'!B12="","",'Textos Memoria'!B12)</f>
        <v/>
      </c>
    </row>
    <row r="14" spans="1:11" x14ac:dyDescent="0.3">
      <c r="A14" s="360" t="s">
        <v>901</v>
      </c>
      <c r="B14" s="120" t="s">
        <v>927</v>
      </c>
      <c r="C14" t="str">
        <f>IF('Textos Memoria'!B13="","",'Textos Memoria'!B13)</f>
        <v>Grande</v>
      </c>
    </row>
    <row r="15" spans="1:11" x14ac:dyDescent="0.3">
      <c r="A15" s="360" t="s">
        <v>901</v>
      </c>
      <c r="B15" s="120" t="s">
        <v>928</v>
      </c>
      <c r="C15" t="str">
        <f>IF('Textos Memoria'!B14="","",'Textos Memoria'!B14)</f>
        <v/>
      </c>
    </row>
    <row r="16" spans="1:11" x14ac:dyDescent="0.3">
      <c r="A16" s="360" t="s">
        <v>901</v>
      </c>
      <c r="B16" s="120" t="s">
        <v>931</v>
      </c>
      <c r="C16" t="str">
        <f>IF('Textos Memoria'!B15="","",'Textos Memoria'!B15)</f>
        <v/>
      </c>
    </row>
    <row r="17" spans="1:6" x14ac:dyDescent="0.3">
      <c r="A17" s="484" t="s">
        <v>934</v>
      </c>
      <c r="B17" s="484" t="s">
        <v>933</v>
      </c>
      <c r="D17" s="484" t="s">
        <v>393</v>
      </c>
      <c r="F17" t="str">
        <f>TXT!B3</f>
        <v>El establecimiento considerado ocupa parcialmente un edificio que tiene, además, otros establecimientos, ya sean estos de uso industrial o de otros usos. Dentro de la configuración tipo A, en función de la parte del edificio que esté ocupada por el establecimiento considerado, se diferenciará entre tipo AV o AH, según si la separación de dicho establecimiento con los otros establecimientos del edificio se hace en vertical o en horizontal, en la configuración AV esta separación es en vertical</v>
      </c>
    </row>
    <row r="18" spans="1:6" x14ac:dyDescent="0.3">
      <c r="A18" s="484" t="s">
        <v>934</v>
      </c>
      <c r="B18" s="484" t="s">
        <v>933</v>
      </c>
      <c r="D18" s="484" t="s">
        <v>409</v>
      </c>
      <c r="F18" t="str">
        <f>TXT!C3</f>
        <v>El establecimiento considerado ocupa parcialmente un edificio que tiene, además, otros establecimientos, ya sean estos de uso industrial o de otros usos. Dentro de la configuración tipo A, en función de la parte del edificio que esté ocupada por el establecimiento considerado, se diferenciará entre tipo AV o AH, según si la separación de dicho establecimiento con los otros establecimientos del edificio se hace en vertical o en horizontal, en la configuración AH esta separación es en horizontal</v>
      </c>
    </row>
    <row r="19" spans="1:6" x14ac:dyDescent="0.3">
      <c r="A19" s="484" t="s">
        <v>934</v>
      </c>
      <c r="B19" s="484" t="s">
        <v>933</v>
      </c>
      <c r="D19" s="484" t="s">
        <v>138</v>
      </c>
      <c r="F19" t="str">
        <f>TXT!D3</f>
        <v>El establecimiento considerado ocupa totalmente un edificio, con estructura portante y cerramiento independiente, que es adyacente a otro, u otros, edificios de otro establecimiento; o bien, está a una distancia de separación igual o inferior a tres metros de otro, u otros, edificios de otro establecimiento, ya sean estos de uso industrial o de otros usos</v>
      </c>
    </row>
    <row r="20" spans="1:6" x14ac:dyDescent="0.3">
      <c r="A20" s="484" t="s">
        <v>934</v>
      </c>
      <c r="B20" s="484" t="s">
        <v>933</v>
      </c>
      <c r="D20" s="484" t="s">
        <v>155</v>
      </c>
      <c r="F20" t="str">
        <f>TXT!E3</f>
        <v>“El establecimiento industrial ocupa totalmente un edificio, o varios, en su caso, que está a una distancia mayor de tres metros del edificio más próximo de otros establecimientos. Dicha distancia deberá estar libre de mercancías combustibles o elementos intermedios susceptibles de propagar el incendio</v>
      </c>
    </row>
    <row r="21" spans="1:6" x14ac:dyDescent="0.3">
      <c r="A21" s="484" t="s">
        <v>934</v>
      </c>
      <c r="B21" s="484" t="s">
        <v>933</v>
      </c>
      <c r="D21" s="484" t="s">
        <v>421</v>
      </c>
      <c r="F21" t="str">
        <f>TXT!F3</f>
        <v>El establecimiento considerado ocupa un espacio abierto. El espacio abierto puede estar descubierto, o bien, cubierto por estructuras que 
carecen total o parcialmente de cerramientos laterales</v>
      </c>
    </row>
    <row r="22" spans="1:6" x14ac:dyDescent="0.3">
      <c r="A22" s="360" t="s">
        <v>901</v>
      </c>
      <c r="B22" s="120" t="s">
        <v>939</v>
      </c>
      <c r="C22" t="str">
        <f>IF('Textos Memoria'!B17="","",'Textos Memoria'!B17)</f>
        <v>Las necesarias</v>
      </c>
    </row>
    <row r="23" spans="1:6" x14ac:dyDescent="0.3">
      <c r="A23" s="360" t="s">
        <v>901</v>
      </c>
      <c r="B23" s="120" t="s">
        <v>944</v>
      </c>
      <c r="C23" t="str">
        <f>IF('Textos Memoria'!B18="","",'Textos Memoria'!B18)</f>
        <v/>
      </c>
    </row>
    <row r="24" spans="1:6" x14ac:dyDescent="0.3">
      <c r="A24" s="360" t="s">
        <v>901</v>
      </c>
      <c r="B24" s="120" t="s">
        <v>945</v>
      </c>
      <c r="C24" t="str">
        <f>IF('Textos Memoria'!B19="","",'Textos Memoria'!B19)</f>
        <v/>
      </c>
    </row>
    <row r="25" spans="1:6" x14ac:dyDescent="0.3">
      <c r="A25" s="360" t="s">
        <v>901</v>
      </c>
      <c r="B25" s="484" t="s">
        <v>946</v>
      </c>
      <c r="C25" s="484" t="str">
        <f>IF('Textos Memoria'!B20="","",'Textos Memoria'!B20)</f>
        <v/>
      </c>
    </row>
    <row r="26" spans="1:6" x14ac:dyDescent="0.3">
      <c r="A26" s="360" t="s">
        <v>901</v>
      </c>
      <c r="B26" s="484" t="s">
        <v>947</v>
      </c>
      <c r="C26" s="484" t="str">
        <f>IF('Textos Memoria'!B21="","",'Textos Memoria'!B21)</f>
        <v/>
      </c>
    </row>
    <row r="27" spans="1:6" x14ac:dyDescent="0.3">
      <c r="A27" s="360" t="s">
        <v>901</v>
      </c>
      <c r="B27" s="484" t="s">
        <v>948</v>
      </c>
      <c r="C27" s="484" t="str">
        <f>IF('Textos Memoria'!B22="","",'Textos Memoria'!B22)</f>
        <v/>
      </c>
    </row>
    <row r="28" spans="1:6" x14ac:dyDescent="0.3">
      <c r="A28" s="360" t="s">
        <v>901</v>
      </c>
      <c r="B28" s="484" t="s">
        <v>949</v>
      </c>
      <c r="C28" s="484" t="str">
        <f>IF('Textos Memoria'!B23="","",'Textos Memoria'!B23)</f>
        <v/>
      </c>
    </row>
    <row r="29" spans="1:6" x14ac:dyDescent="0.3">
      <c r="A29" s="360" t="s">
        <v>901</v>
      </c>
      <c r="B29" t="s">
        <v>950</v>
      </c>
      <c r="C29">
        <f>IF('001'!B28="","",'001'!B28)</f>
        <v>10</v>
      </c>
    </row>
    <row r="30" spans="1:6" x14ac:dyDescent="0.3">
      <c r="A30" s="360" t="s">
        <v>901</v>
      </c>
      <c r="B30" t="s">
        <v>951</v>
      </c>
      <c r="C30">
        <f>IF(Interfaz!F28="","",Interfaz!F28)</f>
        <v>266.5</v>
      </c>
    </row>
    <row r="31" spans="1:6" x14ac:dyDescent="0.3">
      <c r="A31" s="360" t="s">
        <v>901</v>
      </c>
      <c r="B31" t="s">
        <v>952</v>
      </c>
      <c r="C31" t="str">
        <f>IF(Interfaz!D29="","",Interfaz!D29)</f>
        <v>CUMPLE</v>
      </c>
    </row>
    <row r="32" spans="1:6" x14ac:dyDescent="0.3">
      <c r="A32" s="360" t="s">
        <v>901</v>
      </c>
      <c r="B32" s="484" t="s">
        <v>954</v>
      </c>
      <c r="C32" t="str">
        <f>IF('Textos Memoria'!B24="","",'Textos Memoria'!B24)</f>
        <v/>
      </c>
    </row>
    <row r="33" spans="1:6" x14ac:dyDescent="0.3">
      <c r="A33" s="360" t="s">
        <v>901</v>
      </c>
      <c r="B33" s="484" t="s">
        <v>955</v>
      </c>
      <c r="C33" t="str">
        <f>IF('Textos Memoria'!B25="","",'Textos Memoria'!B25)</f>
        <v/>
      </c>
    </row>
    <row r="34" spans="1:6" x14ac:dyDescent="0.3">
      <c r="A34" s="360" t="s">
        <v>901</v>
      </c>
      <c r="B34" s="484" t="s">
        <v>956</v>
      </c>
      <c r="C34" t="str">
        <f>IF('Textos Memoria'!B26="","",'Textos Memoria'!B26)</f>
        <v/>
      </c>
    </row>
    <row r="35" spans="1:6" x14ac:dyDescent="0.3">
      <c r="A35" s="360" t="s">
        <v>901</v>
      </c>
      <c r="B35" s="484" t="s">
        <v>957</v>
      </c>
      <c r="C35" t="str">
        <f>IF('Textos Memoria'!B27="","",'Textos Memoria'!B27)</f>
        <v/>
      </c>
    </row>
    <row r="36" spans="1:6" x14ac:dyDescent="0.3">
      <c r="A36" s="360" t="s">
        <v>901</v>
      </c>
      <c r="B36" s="484" t="s">
        <v>958</v>
      </c>
      <c r="C36" t="str">
        <f>IF('Textos Memoria'!B28="","",'Textos Memoria'!B28)</f>
        <v/>
      </c>
    </row>
    <row r="37" spans="1:6" x14ac:dyDescent="0.3">
      <c r="A37" s="360" t="s">
        <v>901</v>
      </c>
      <c r="B37" s="484" t="s">
        <v>959</v>
      </c>
      <c r="C37" t="str">
        <f>IF('Textos Memoria'!B29="","",'Textos Memoria'!B29)</f>
        <v/>
      </c>
    </row>
    <row r="38" spans="1:6" x14ac:dyDescent="0.3">
      <c r="A38" s="360" t="s">
        <v>901</v>
      </c>
      <c r="B38" s="484" t="s">
        <v>960</v>
      </c>
      <c r="C38" t="str">
        <f>IF('Textos Memoria'!B30="","",'Textos Memoria'!B30)</f>
        <v/>
      </c>
    </row>
    <row r="39" spans="1:6" x14ac:dyDescent="0.3">
      <c r="A39" s="360" t="s">
        <v>901</v>
      </c>
      <c r="B39" s="484" t="s">
        <v>961</v>
      </c>
      <c r="C39" t="str">
        <f>IF('Textos Memoria'!B31="","",'Textos Memoria'!B31)</f>
        <v/>
      </c>
    </row>
    <row r="40" spans="1:6" x14ac:dyDescent="0.3">
      <c r="A40" s="360" t="s">
        <v>901</v>
      </c>
      <c r="B40" s="484" t="s">
        <v>962</v>
      </c>
      <c r="C40" t="str">
        <f>IF('Textos Memoria'!B32="","",'Textos Memoria'!B32)</f>
        <v/>
      </c>
    </row>
    <row r="41" spans="1:6" x14ac:dyDescent="0.3">
      <c r="A41" s="360" t="s">
        <v>901</v>
      </c>
      <c r="B41" s="484" t="s">
        <v>963</v>
      </c>
      <c r="C41" t="str">
        <f>IF('Textos Memoria'!B33="","",'Textos Memoria'!B33)</f>
        <v/>
      </c>
    </row>
    <row r="42" spans="1:6" x14ac:dyDescent="0.3">
      <c r="A42" s="360" t="s">
        <v>901</v>
      </c>
      <c r="B42" s="484" t="s">
        <v>964</v>
      </c>
      <c r="C42" t="str">
        <f>IF('Textos Memoria'!B34="","",'Textos Memoria'!B34)</f>
        <v>con las ortigas del bosque</v>
      </c>
    </row>
    <row r="43" spans="1:6" x14ac:dyDescent="0.3">
      <c r="A43" s="484" t="s">
        <v>934</v>
      </c>
      <c r="B43" t="s">
        <v>972</v>
      </c>
      <c r="D43" s="484" t="s">
        <v>393</v>
      </c>
      <c r="F43" t="str">
        <f>TXT!B4</f>
        <v>1.º Actividades de fabricación y otros procesos similares, tales como producción, 
transformación, reparación u otras distintas al almacenamiento, en los siguientes casos: 
En configuraciones de tipo AV o AH: 
Sectores con superficie construida de 300 m2 o superior. 
2.º Actividades de almacenamiento, en los siguientes casos:
En configuraciones de tipo AV o AH: 
Cuando no sean exigibles los sistemas citados, se instalarán sistemas de detección y de alarma con, al menos, dispositivos para la activación manual (pulsadores manuales) en los sectores de incendio que tengan una superficie construida de 400 m2 o superior.</v>
      </c>
    </row>
    <row r="44" spans="1:6" x14ac:dyDescent="0.3">
      <c r="A44" s="484" t="s">
        <v>934</v>
      </c>
      <c r="B44" t="s">
        <v>972</v>
      </c>
      <c r="D44" s="484" t="s">
        <v>409</v>
      </c>
      <c r="F44" t="str">
        <f>TXT!C4</f>
        <v>1.º Actividades de fabricación y otros procesos similares, tales como producción, 
transformación, reparación u otras distintas al almacenamiento, en los siguientes casos: 
En configuraciones de tipo AV o AH: 
Sectores con superficie construida de 300 m2 o superior. 
2.º Actividades de almacenamiento, en los siguientes casos:
En configuraciones de tipo AV o AH: 
Cuando no sean exigibles los sistemas citados, se instalarán sistemas de detección y de alarma con, al menos, dispositivos para la activación manual (pulsadores manuales) en los sectores de incendio que tengan una superficie construida de 400 m2 o superior.</v>
      </c>
    </row>
    <row r="45" spans="1:6" x14ac:dyDescent="0.3">
      <c r="A45" s="484" t="s">
        <v>934</v>
      </c>
      <c r="B45" t="s">
        <v>972</v>
      </c>
      <c r="D45" s="484" t="s">
        <v>138</v>
      </c>
      <c r="F45" t="str">
        <f>TXT!D4</f>
        <v>1.º Actividades de fabricación y otros procesos similares, tales como producción, 
transformación, reparación u otras distintas al almacenamiento, en los siguientes casos: 
En configuraciones de tipo B: 
a)	Sectores con nivel de riesgo intrínseco bajo (excepto los de riesgo bajo nivel 1) y superficie construida de 3.000 m2 o superior. 
b)	Sectores con nivel de riesgo intrínseco medio y superficie construida de 2.000 m2 o superior.
c)	Sectores con nivel de riesgo intrínseco alto y superficie construida de 1.000 m2 o superior
2.º Actividades de almacenamiento, en los siguientes casos:
En configuraciones de tipo B: 
a)	Sectores con nivel de riesgo intrínseco bajo (excepto los de riesgo bajo nivel 1) y superficie construida de 1.500 m2 o superior. 
b)	Sectores con nivel de riesgo intrínseco medio y superficie construida de 1.000 m2 o superior.
c)	Sectores con nivel de riesgo intrínseco alto y superficie construida de 500 m2 o superior
Cuando no sean exigibles los sistemas citados, se instalarán sistemas de detección y de alarma con, al menos, dispositivos para la activación manual (pulsadores manuales) en los sectores de incendio que tengan una superficie construida de 400 m2 o superior.</v>
      </c>
    </row>
    <row r="46" spans="1:6" x14ac:dyDescent="0.3">
      <c r="A46" s="484" t="s">
        <v>934</v>
      </c>
      <c r="B46" t="s">
        <v>972</v>
      </c>
      <c r="D46" s="484" t="s">
        <v>155</v>
      </c>
      <c r="F46" t="str">
        <f>TXT!E4</f>
        <v>1.º Actividades de fabricación y otros procesos similares, tales como producción, 
transformación, reparación u otras distintas al almacenamiento, en los siguientes casos: 
En configuraciones de tipo C: 
a)	Sectores con nivel de riesgo intrínseco bajo (excepto los de riesgo bajo nivel 1) y superficie construida de 4.000 m2 o superior. 
b)	Sectores con nivel de riesgo intrínseco medio y superficie construida de 3.000 m2 o superior. 
c)	Sectores con nivel de riesgo intrínseco alto y superficie construida de 2.000 m2 o superior.
2.º Actividades de almacenamiento, en los siguientes casos:
En configuraciones de tipo C: 
a)	 Sectores con nivel de riesgo intrínseco bajo (excepto los de riesgo bajo nivel 1) y superficie construida de 3.000 m2 o superior. 
b)	Sectores con nivel de riesgo intrínseco medio y superficie construida de 1.500 m2 o superior. 
c)	Sectores con nivel de riesgo intrínseco alto y superficie construida de 800 m2 o superior. 
Cuando no sean exigibles los sistemas citados, se instalarán sistemas de detección y de alarma con, al menos, dispositivos para la activación manual (pulsadores manuales) en los sectores de incendio que tengan una superficie construida de 400 m2 o superior.</v>
      </c>
    </row>
    <row r="47" spans="1:6" x14ac:dyDescent="0.3">
      <c r="A47" s="360" t="s">
        <v>901</v>
      </c>
      <c r="B47" s="484" t="s">
        <v>973</v>
      </c>
      <c r="C47" t="str">
        <f>IF('Textos Memoria'!B36="","",'Textos Memoria'!B36)</f>
        <v>45 mm</v>
      </c>
    </row>
    <row r="48" spans="1:6" x14ac:dyDescent="0.3">
      <c r="A48" s="360" t="s">
        <v>901</v>
      </c>
      <c r="B48" s="484" t="s">
        <v>975</v>
      </c>
      <c r="C48" t="str">
        <f>IF('Textos Memoria'!B37="","",'Textos Memoria'!B37)</f>
        <v/>
      </c>
    </row>
    <row r="49" spans="1:6" x14ac:dyDescent="0.3">
      <c r="A49" s="360" t="s">
        <v>901</v>
      </c>
      <c r="B49" s="484" t="s">
        <v>976</v>
      </c>
      <c r="C49" t="str">
        <f>IF('Textos Memoria'!B38="","",'Textos Memoria'!B38)</f>
        <v/>
      </c>
    </row>
    <row r="50" spans="1:6" x14ac:dyDescent="0.3">
      <c r="A50" s="360" t="s">
        <v>901</v>
      </c>
      <c r="B50" s="484" t="s">
        <v>977</v>
      </c>
      <c r="C50" t="str">
        <f>IF('Textos Memoria'!B39="","",'Textos Memoria'!B39)</f>
        <v/>
      </c>
    </row>
    <row r="51" spans="1:6" x14ac:dyDescent="0.3">
      <c r="A51" s="360" t="s">
        <v>901</v>
      </c>
      <c r="B51" s="484" t="s">
        <v>973</v>
      </c>
      <c r="C51" t="str">
        <f>IF('Textos Memoria'!B40="","",'Textos Memoria'!B40)</f>
        <v/>
      </c>
    </row>
    <row r="52" spans="1:6" x14ac:dyDescent="0.3">
      <c r="A52" s="484" t="s">
        <v>934</v>
      </c>
      <c r="B52" s="484" t="s">
        <v>971</v>
      </c>
      <c r="D52" s="484" t="s">
        <v>393</v>
      </c>
      <c r="F52" t="str">
        <f>TXT!B6</f>
        <v xml:space="preserve">Se instalarán sistemas fijos de extinción automática, tales como sistemas de rociadores automáticos, en los sectores de incendio cuando en ellos se desarrollen: 
1.º Actividades de fabricación y otros procesos similares, tales como producción, transformación, reparación u otras distintas al almacenamiento, en los siguientes casos: 
En configuraciones de tipo AV: Sectores con nivel de riesgo intrínseco medio y superficie construida de 500 m2 o superior. 
2.º Actividades de almacenamiento, en los siguientes casos:
En configuraciones de tipo AV: 
Sectores con nivel de riesgo intrínseco medio y superficie construida de 300 m2 o superior. </v>
      </c>
    </row>
    <row r="53" spans="1:6" x14ac:dyDescent="0.3">
      <c r="A53" s="484" t="s">
        <v>934</v>
      </c>
      <c r="B53" s="484" t="s">
        <v>971</v>
      </c>
      <c r="D53" s="484" t="s">
        <v>409</v>
      </c>
      <c r="F53" t="str">
        <f>TXT!C6</f>
        <v xml:space="preserve">
Se instalarán sistemas fijos de extinción automática, tales como sistemas de rociadores automáticos, en los sectores de incendio cuando en ellos se desarrollen: 
1.º Actividades de fabricación y otros procesos similares, tales como producción, transformación, reparación u otras distintas al almacenamiento, en los siguientes casos: 
En configuraciones de tipo AH: 
a)	Sectores con nivel de riesgo intrínseco medio y superficie construida de 1.500 m2 o superior.
b)	Sectores con nivel de riesgo intrínseco alto y superficie construida de 750 m2 o superior. 
2.º Actividades de almacenamiento, en los siguientes casos:
En configuraciones de tipo AH:
a)	Sectores con nivel de riesgo intrínseco medio y superficie construida de 1.000 m2 o superior. 
b)	Sectores con nivel de riesgo intrínseco alto y superficie construida de 600 m2 o superior. </v>
      </c>
    </row>
    <row r="54" spans="1:6" x14ac:dyDescent="0.3">
      <c r="A54" s="484" t="s">
        <v>934</v>
      </c>
      <c r="B54" s="484" t="s">
        <v>971</v>
      </c>
      <c r="D54" s="484" t="s">
        <v>138</v>
      </c>
      <c r="F54" t="str">
        <f>TXT!D6</f>
        <v xml:space="preserve">
Se instalarán sistemas fijos de extinción automática, tales como sistemas de rociadores automáticos, en los sectores de incendio cuando en ellos se desarrollen: 
1.º Actividades de fabricación y otros procesos similares, tales como producción, transformación, reparación u otras distintas al almacenamiento, en los siguientes casos: 
En configuraciones de tipo B:
a)	Sectores con nivel de riesgo intrínseco medio y superficie construida de 2.500 m2 o superior.Sectores con nivel de riesgo intrínseco alto y superficie construida de 1.000 m2 o superior.
2.º Actividades de almacenamiento, en los siguientes casos:
En configuraciones de tipo B: 
a)	Sectores con nivel de riesgo intrínseco medio y superficie construida de 1.500 m2 o superior. 
b)	Sectores con nivel de riesgo intrínseco alto y superficie construida de 800 m2 o superior. </v>
      </c>
    </row>
    <row r="55" spans="1:6" x14ac:dyDescent="0.3">
      <c r="A55" s="484" t="s">
        <v>934</v>
      </c>
      <c r="B55" s="484" t="s">
        <v>971</v>
      </c>
      <c r="D55" s="484" t="s">
        <v>155</v>
      </c>
      <c r="F55" t="str">
        <f>TXT!E6</f>
        <v>Se instalarán sistemas fijos de extinción automática, tales como sistemas de rociadores automáticos, en los sectores de incendio cuando en ellos se desarrollen: 
1.º Actividades de fabricación y otros procesos similares, tales como producción, transformación, reparación u otras distintas al almacenamiento, en los siguientes casos: 
En configuraciones de tipo C: 
a)	Sectores con nivel de riesgo intrínseco medio y superficie construida de 3.500 m2 o superior. 
b)	Sectores con nivel de riesgo intrínseco alto y superficie construida de 2.000 m2 o superior. 
2.º Actividades de almacenamiento, en los siguientes casos:
En configuraciones de tipo C: 
a)	Sectores con nivel de riesgo intrínseco medio y superficie construida de 2.000 m2 o superior. 
b)	Sectores con nivel de riesgo intrínseco alto y superficie construida de 1.000 m2 o superior.</v>
      </c>
    </row>
    <row r="56" spans="1:6" x14ac:dyDescent="0.3">
      <c r="A56" s="360" t="s">
        <v>901</v>
      </c>
      <c r="B56" s="484" t="s">
        <v>982</v>
      </c>
      <c r="C56" t="str">
        <f>IF('Textos Memoria'!B41="","",'Textos Memoria'!B41)</f>
        <v/>
      </c>
    </row>
    <row r="57" spans="1:6" x14ac:dyDescent="0.3">
      <c r="A57" s="360" t="s">
        <v>901</v>
      </c>
      <c r="B57" s="484" t="s">
        <v>983</v>
      </c>
      <c r="C57" t="str">
        <f>IF('Textos Memoria'!B42="","",'Textos Memoria'!B42)</f>
        <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62A452-7CF8-4A2E-A043-17C88CDCF27B}">
  <sheetPr codeName="Hoja44"/>
  <dimension ref="A1:N6"/>
  <sheetViews>
    <sheetView topLeftCell="A6" workbookViewId="0">
      <selection activeCell="E6" sqref="E6"/>
    </sheetView>
  </sheetViews>
  <sheetFormatPr baseColWidth="10" defaultRowHeight="14.4" x14ac:dyDescent="0.3"/>
  <cols>
    <col min="1" max="1" width="36.88671875" bestFit="1" customWidth="1"/>
    <col min="2" max="2" width="65.21875" style="365" customWidth="1"/>
    <col min="3" max="3" width="53.44140625" style="365" bestFit="1" customWidth="1"/>
    <col min="4" max="4" width="39.77734375" style="365" bestFit="1" customWidth="1"/>
    <col min="5" max="5" width="67.33203125" style="365" customWidth="1"/>
    <col min="6" max="6" width="48" style="365" bestFit="1" customWidth="1"/>
    <col min="7" max="16384" width="11.5546875" style="365"/>
  </cols>
  <sheetData>
    <row r="1" spans="1:14" customFormat="1" ht="15" thickBot="1" x14ac:dyDescent="0.35">
      <c r="A1" s="362"/>
      <c r="B1" s="479" t="s">
        <v>914</v>
      </c>
      <c r="C1" s="480"/>
      <c r="D1" s="480"/>
      <c r="E1" s="480"/>
      <c r="F1" s="480"/>
      <c r="G1" s="481" t="s">
        <v>5</v>
      </c>
      <c r="H1" s="482"/>
      <c r="I1" s="482"/>
      <c r="J1" s="482"/>
      <c r="K1" s="482"/>
      <c r="L1" s="482"/>
      <c r="M1" s="482"/>
      <c r="N1" s="483"/>
    </row>
    <row r="2" spans="1:14" customFormat="1" ht="15" thickBot="1" x14ac:dyDescent="0.35">
      <c r="A2" s="363" t="s">
        <v>905</v>
      </c>
      <c r="B2" s="364" t="s">
        <v>393</v>
      </c>
      <c r="C2" s="364" t="s">
        <v>409</v>
      </c>
      <c r="D2" s="364" t="s">
        <v>138</v>
      </c>
      <c r="E2" s="364" t="s">
        <v>155</v>
      </c>
      <c r="F2" s="364" t="s">
        <v>421</v>
      </c>
      <c r="G2" s="364" t="s">
        <v>906</v>
      </c>
      <c r="H2" s="364" t="s">
        <v>907</v>
      </c>
      <c r="I2" s="364" t="s">
        <v>908</v>
      </c>
      <c r="J2" s="364" t="s">
        <v>909</v>
      </c>
      <c r="K2" s="364" t="s">
        <v>910</v>
      </c>
      <c r="L2" s="364" t="s">
        <v>911</v>
      </c>
      <c r="M2" s="364" t="s">
        <v>912</v>
      </c>
      <c r="N2" s="366" t="s">
        <v>913</v>
      </c>
    </row>
    <row r="3" spans="1:14" ht="116.4" customHeight="1" x14ac:dyDescent="0.3">
      <c r="A3" s="484" t="s">
        <v>933</v>
      </c>
      <c r="B3" s="504" t="s">
        <v>935</v>
      </c>
      <c r="C3" s="504" t="s">
        <v>936</v>
      </c>
      <c r="D3" s="505" t="s">
        <v>937</v>
      </c>
      <c r="E3" s="492" t="s">
        <v>932</v>
      </c>
      <c r="F3" s="492" t="s">
        <v>938</v>
      </c>
    </row>
    <row r="4" spans="1:14" ht="408.6" customHeight="1" x14ac:dyDescent="0.3">
      <c r="A4" s="484" t="s">
        <v>972</v>
      </c>
      <c r="B4" s="492" t="s">
        <v>965</v>
      </c>
      <c r="C4" s="492" t="s">
        <v>965</v>
      </c>
      <c r="D4" s="492" t="s">
        <v>966</v>
      </c>
      <c r="E4" s="492" t="s">
        <v>974</v>
      </c>
    </row>
    <row r="5" spans="1:14" ht="230.4" x14ac:dyDescent="0.3">
      <c r="A5" s="484" t="s">
        <v>967</v>
      </c>
      <c r="B5" s="492" t="s">
        <v>968</v>
      </c>
      <c r="C5" s="492" t="s">
        <v>969</v>
      </c>
      <c r="D5" s="492" t="s">
        <v>969</v>
      </c>
      <c r="E5" s="492" t="s">
        <v>970</v>
      </c>
    </row>
    <row r="6" spans="1:14" ht="316.8" x14ac:dyDescent="0.3">
      <c r="A6" s="506" t="s">
        <v>971</v>
      </c>
      <c r="B6" s="492" t="s">
        <v>978</v>
      </c>
      <c r="C6" s="492" t="s">
        <v>979</v>
      </c>
      <c r="D6" s="492" t="s">
        <v>980</v>
      </c>
      <c r="E6" s="492" t="s">
        <v>981</v>
      </c>
    </row>
  </sheetData>
  <mergeCells count="2">
    <mergeCell ref="B1:F1"/>
    <mergeCell ref="G1:N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47</vt:i4>
      </vt:variant>
      <vt:variant>
        <vt:lpstr>Rangos con nombre</vt:lpstr>
      </vt:variant>
      <vt:variant>
        <vt:i4>3</vt:i4>
      </vt:variant>
    </vt:vector>
  </HeadingPairs>
  <TitlesOfParts>
    <vt:vector size="50" baseType="lpstr">
      <vt:lpstr>Interfaz</vt:lpstr>
      <vt:lpstr>001</vt:lpstr>
      <vt:lpstr>Textos Memoria</vt:lpstr>
      <vt:lpstr>Imagenes</vt:lpstr>
      <vt:lpstr>TOKENS Imágenes</vt:lpstr>
      <vt:lpstr>Textos</vt:lpstr>
      <vt:lpstr>Nota 1.5 y 1.6</vt:lpstr>
      <vt:lpstr>Anx. II Sup</vt:lpstr>
      <vt:lpstr>Anx. II Reac</vt:lpstr>
      <vt:lpstr>Anx. II Res Sec</vt:lpstr>
      <vt:lpstr>Anx. II Res Ext</vt:lpstr>
      <vt:lpstr>Anx. II Ocu</vt:lpstr>
      <vt:lpstr>Anx. II Sal</vt:lpstr>
      <vt:lpstr>Anx. II Res</vt:lpstr>
      <vt:lpstr>Anx. III Det Auto</vt:lpstr>
      <vt:lpstr>Anx. III Det Man</vt:lpstr>
      <vt:lpstr>Anx. III Alr</vt:lpstr>
      <vt:lpstr>Anx. III Meg</vt:lpstr>
      <vt:lpstr>Anx. III Hid</vt:lpstr>
      <vt:lpstr>Anx. III Ext Ext</vt:lpstr>
      <vt:lpstr>Anx. III BIES</vt:lpstr>
      <vt:lpstr>Anx. III Ext Auto</vt:lpstr>
      <vt:lpstr>Anx. III Col</vt:lpstr>
      <vt:lpstr>Anx. III Hum</vt:lpstr>
      <vt:lpstr>Superficie NRI</vt:lpstr>
      <vt:lpstr>RF Particiones y Puertas</vt:lpstr>
      <vt:lpstr>Reacción al fuego</vt:lpstr>
      <vt:lpstr>Resist. Estable</vt:lpstr>
      <vt:lpstr>Instalaciones tecnicas</vt:lpstr>
      <vt:lpstr>Reacc Elementos</vt:lpstr>
      <vt:lpstr>Recorridos Evacuacion</vt:lpstr>
      <vt:lpstr>Medios de Evacuacion</vt:lpstr>
      <vt:lpstr>Condiciones Aproximacion</vt:lpstr>
      <vt:lpstr>Resistencia Estructural</vt:lpstr>
      <vt:lpstr>Deteccion</vt:lpstr>
      <vt:lpstr>Abastecimiento</vt:lpstr>
      <vt:lpstr>Hidrantes</vt:lpstr>
      <vt:lpstr>Extintores</vt:lpstr>
      <vt:lpstr>BIES</vt:lpstr>
      <vt:lpstr>Columna Seca</vt:lpstr>
      <vt:lpstr>Extincion Auto</vt:lpstr>
      <vt:lpstr>Control Humos</vt:lpstr>
      <vt:lpstr>Alumbrado Emer</vt:lpstr>
      <vt:lpstr>Señaletica</vt:lpstr>
      <vt:lpstr>Listas</vt:lpstr>
      <vt:lpstr>TOKENS</vt:lpstr>
      <vt:lpstr>TXT</vt:lpstr>
      <vt:lpstr>CONFIGURACION</vt:lpstr>
      <vt:lpstr>Interfaz!EstadoCaso</vt:lpstr>
      <vt:lpstr>NRI</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ESDPC</dc:creator>
  <cp:lastModifiedBy>Guillermo Andres Guerra Hiniesto</cp:lastModifiedBy>
  <dcterms:created xsi:type="dcterms:W3CDTF">2015-06-05T18:19:34Z</dcterms:created>
  <dcterms:modified xsi:type="dcterms:W3CDTF">2025-11-13T12:56:10Z</dcterms:modified>
</cp:coreProperties>
</file>