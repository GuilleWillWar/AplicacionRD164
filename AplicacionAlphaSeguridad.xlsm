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ESDPC\Desktop\App Seguridad\"/>
    </mc:Choice>
  </mc:AlternateContent>
  <xr:revisionPtr revIDLastSave="0" documentId="13_ncr:1_{09762960-03B7-42A0-ADC0-A2ADB887450B}" xr6:coauthVersionLast="47" xr6:coauthVersionMax="47" xr10:uidLastSave="{00000000-0000-0000-0000-000000000000}"/>
  <bookViews>
    <workbookView xWindow="-108" yWindow="-108" windowWidth="23256" windowHeight="12576" activeTab="48" xr2:uid="{00000000-000D-0000-FFFF-FFFF00000000}"/>
  </bookViews>
  <sheets>
    <sheet name="Interfaz" sheetId="1" r:id="rId1"/>
    <sheet name="001" sheetId="52" r:id="rId2"/>
    <sheet name="Textos Memoria" sheetId="5" r:id="rId3"/>
    <sheet name="Imagenes" sheetId="6" r:id="rId4"/>
    <sheet name="TOKENS Imágenes" sheetId="7" r:id="rId5"/>
    <sheet name="Textos" sheetId="8" state="hidden" r:id="rId6"/>
    <sheet name="Nota 1.5 y 1.6" sheetId="9" state="hidden" r:id="rId7"/>
    <sheet name="Anx. II Sup" sheetId="10" state="hidden" r:id="rId8"/>
    <sheet name="Anx. II Reac" sheetId="11" state="hidden" r:id="rId9"/>
    <sheet name="Anx. II Res Sec" sheetId="12" state="hidden" r:id="rId10"/>
    <sheet name="Anx. II Res Ext" sheetId="13" state="hidden" r:id="rId11"/>
    <sheet name="Anx. II Ocu" sheetId="14" state="hidden" r:id="rId12"/>
    <sheet name="Anx. II Sal" sheetId="15" state="hidden" r:id="rId13"/>
    <sheet name="Anx. II Res" sheetId="16" state="hidden" r:id="rId14"/>
    <sheet name="Anx. III Det Auto" sheetId="17" state="hidden" r:id="rId15"/>
    <sheet name="Anx. III Det Man" sheetId="18" state="hidden" r:id="rId16"/>
    <sheet name="Anx. III Alr" sheetId="19" state="hidden" r:id="rId17"/>
    <sheet name="Anx. III Meg" sheetId="20" state="hidden" r:id="rId18"/>
    <sheet name="Anx. III Hid" sheetId="21" state="hidden" r:id="rId19"/>
    <sheet name="Anx. III Ext Ext" sheetId="22" state="hidden" r:id="rId20"/>
    <sheet name="Anx. III BIES" sheetId="23" state="hidden" r:id="rId21"/>
    <sheet name="Anx. III Ext Auto" sheetId="24" state="hidden" r:id="rId22"/>
    <sheet name="Anx. III Col" sheetId="25" state="hidden" r:id="rId23"/>
    <sheet name="Anx. III Hum" sheetId="26" state="hidden" r:id="rId24"/>
    <sheet name="Superficie NRI" sheetId="27" state="hidden" r:id="rId25"/>
    <sheet name="RF Particiones y Puertas" sheetId="28" state="hidden" r:id="rId26"/>
    <sheet name="Reacción al fuego" sheetId="29" state="hidden" r:id="rId27"/>
    <sheet name="Resist. Estable" sheetId="30" state="hidden" r:id="rId28"/>
    <sheet name="Instalaciones tecnicas" sheetId="31" state="hidden" r:id="rId29"/>
    <sheet name="Reacc Elementos" sheetId="32" state="hidden" r:id="rId30"/>
    <sheet name="Recorridos Evacuacion" sheetId="33" state="hidden" r:id="rId31"/>
    <sheet name="Medios de Evacuacion" sheetId="34" state="hidden" r:id="rId32"/>
    <sheet name="Condiciones Aproximacion" sheetId="35" state="hidden" r:id="rId33"/>
    <sheet name="Resistencia Estructural" sheetId="36" state="hidden" r:id="rId34"/>
    <sheet name="Deteccion" sheetId="37" state="hidden" r:id="rId35"/>
    <sheet name="Abastecimiento" sheetId="38" state="hidden" r:id="rId36"/>
    <sheet name="Hidrantes" sheetId="39" state="hidden" r:id="rId37"/>
    <sheet name="Extintores" sheetId="40" state="hidden" r:id="rId38"/>
    <sheet name="BIES" sheetId="41" state="hidden" r:id="rId39"/>
    <sheet name="Columna Seca" sheetId="42" state="hidden" r:id="rId40"/>
    <sheet name="Extincion Auto" sheetId="43" state="hidden" r:id="rId41"/>
    <sheet name="Control Humos" sheetId="44" state="hidden" r:id="rId42"/>
    <sheet name="Alumbrado Emer" sheetId="45" state="hidden" r:id="rId43"/>
    <sheet name="Señaletica" sheetId="46" state="hidden" r:id="rId44"/>
    <sheet name="Listas" sheetId="47" state="hidden" r:id="rId45"/>
    <sheet name="TEMPLATE_TABLA_RESUMEN" sheetId="48" state="veryHidden" r:id="rId46"/>
    <sheet name="Tabla resumen" sheetId="53" r:id="rId47"/>
    <sheet name="TOKENS" sheetId="55" r:id="rId48"/>
    <sheet name="TXT" sheetId="56" r:id="rId49"/>
  </sheets>
  <functionGroups builtInGroupCount="19"/>
  <definedNames>
    <definedName name="CONFIGURACION">Interfaz!$C$56</definedName>
    <definedName name="NRI">Interfaz!$C$57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3" roundtripDataChecksum="VRjXNEdUQJy2vVmlAUNF180DkwJZRICohGPKmYNKUnU="/>
    </ext>
  </extLst>
</workbook>
</file>

<file path=xl/calcChain.xml><?xml version="1.0" encoding="utf-8"?>
<calcChain xmlns="http://schemas.openxmlformats.org/spreadsheetml/2006/main">
  <c r="C4" i="55" l="1"/>
  <c r="C3" i="55"/>
  <c r="C2" i="55"/>
  <c r="F2" i="52" a="1"/>
  <c r="F2" i="52" s="1"/>
  <c r="F2" i="1" a="1"/>
  <c r="F2" i="1" s="1"/>
  <c r="H16" i="44"/>
  <c r="K7" i="33"/>
  <c r="K2" i="31"/>
  <c r="O35" i="27"/>
  <c r="H4" i="27" a="1"/>
  <c r="H4" i="27" s="1"/>
  <c r="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3000000}">
      <text>
        <r>
          <rPr>
            <sz val="11"/>
            <color theme="1"/>
            <rFont val="Calibri"/>
            <family val="2"/>
            <scheme val="minor"/>
          </rPr>
          <t>======
ID#AAABvNFyF4Q
ESDPC    (2025-11-04 12:35:29)
Caso archivado el 2025-09-21 16:29</t>
        </r>
      </text>
    </comment>
  </commentList>
  <extLst>
    <ext xmlns:r="http://schemas.openxmlformats.org/officeDocument/2006/relationships" uri="GoogleSheetsCustomDataVersion2">
      <go:sheetsCustomData xmlns:go="http://customooxmlschemas.google.com/" r:id="rId1" roundtripDataSignature="AMtx7mi/oViXd0zYk75S4cz851KzGKQkV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EC4F555-E591-4735-8395-561EE5FA7806}">
      <text>
        <r>
          <rPr>
            <sz val="11"/>
            <color theme="1"/>
            <rFont val="Calibri"/>
            <family val="2"/>
            <scheme val="minor"/>
          </rPr>
          <t>======
ID#AAABvNFyF4Q
ESDPC    (2025-11-04 12:35:29)
Caso archivado el 2025-09-21 16:29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<sst xmlns="http://schemas.openxmlformats.org/spreadsheetml/2006/main" count="5750" uniqueCount="997">
  <si>
    <t>ANEXO I. CARACTERIZACIÓN DE LOS ESTABLECIMIENTOS INDUSTRIALES</t>
  </si>
  <si>
    <t>Calcular</t>
  </si>
  <si>
    <t>Borrar</t>
  </si>
  <si>
    <t>Configuración</t>
  </si>
  <si>
    <r>
      <rPr>
        <b/>
        <sz val="11"/>
        <color theme="1"/>
        <rFont val="Calibri"/>
        <family val="2"/>
      </rPr>
      <t>Q</t>
    </r>
    <r>
      <rPr>
        <sz val="9"/>
        <color theme="1"/>
        <rFont val="Century Gothic"/>
        <family val="2"/>
      </rPr>
      <t xml:space="preserve">S </t>
    </r>
    <r>
      <rPr>
        <sz val="11"/>
        <color theme="1"/>
        <rFont val="Century Gothic"/>
        <family val="2"/>
      </rPr>
      <t>(MJ/m2)</t>
    </r>
  </si>
  <si>
    <t>NRI</t>
  </si>
  <si>
    <t>Nombre del edificio</t>
  </si>
  <si>
    <t>Nivel</t>
  </si>
  <si>
    <t>Actividad</t>
  </si>
  <si>
    <t>Superfice del sector (m2)</t>
  </si>
  <si>
    <t>ANEXO II. REQUISITOS CONSTRUCTIVOS DE LOS ESTABLECIMIENTOS INDUSTRIALES</t>
  </si>
  <si>
    <t>Nombre del sector</t>
  </si>
  <si>
    <t>SECCIÓN 1. PROPAGACIÓN INTERIOR</t>
  </si>
  <si>
    <t>Notas Tecnico</t>
  </si>
  <si>
    <t>Altura de evacuación (m)</t>
  </si>
  <si>
    <t>Superficie Viable</t>
  </si>
  <si>
    <t>Viabilidad</t>
  </si>
  <si>
    <t>Generar Tabla</t>
  </si>
  <si>
    <t>Longitud de fachada accesible (m)</t>
  </si>
  <si>
    <t>Resistencia al fuego viable elementos constructivos separadores de sectores Corregida</t>
  </si>
  <si>
    <t>Superficie Máxima Sector Corregida</t>
  </si>
  <si>
    <t>El sistema cuenta con una fachada accesible, superior al 50% de la fachada total</t>
  </si>
  <si>
    <t>Factor multiplicador x1.25</t>
  </si>
  <si>
    <t>Nota 2</t>
  </si>
  <si>
    <t>Resistencia al fuego elementos constructivos separadores de sectores Corregida</t>
  </si>
  <si>
    <t>Leyenda</t>
  </si>
  <si>
    <t>Sistema de extinción automática por rociadores</t>
  </si>
  <si>
    <t>Factor multiplicador x2</t>
  </si>
  <si>
    <t>Nota 3</t>
  </si>
  <si>
    <t>Puertas Sin Vestíbulo</t>
  </si>
  <si>
    <t>No modificables</t>
  </si>
  <si>
    <t>El sector cuenta con fachada accesible y extinción automática</t>
  </si>
  <si>
    <t>Factor multiplicador x2.5</t>
  </si>
  <si>
    <t>Nota 2 y Nota 3</t>
  </si>
  <si>
    <t>Puertas Con Vestíbulo</t>
  </si>
  <si>
    <t>Modificables</t>
  </si>
  <si>
    <t>El establecimiento cuenta con una cubierta ligera, un sistema fijo de extinción automática y un sistema para control de humos y calor</t>
  </si>
  <si>
    <t>Puertas Grandes Sin Vestíbulo</t>
  </si>
  <si>
    <t>Resultados</t>
  </si>
  <si>
    <t>Información</t>
  </si>
  <si>
    <t>Puertas Grandes Con Vestibulo</t>
  </si>
  <si>
    <t>Botón</t>
  </si>
  <si>
    <t>Situación del elemento</t>
  </si>
  <si>
    <t>Tabla 2.1.4</t>
  </si>
  <si>
    <t>Reacción al fuego de techos y paredes</t>
  </si>
  <si>
    <t>Reacción al fuego de suelos</t>
  </si>
  <si>
    <t>Abrir Nota 5</t>
  </si>
  <si>
    <t>El sector no contiene un sistema de carga de baterias</t>
  </si>
  <si>
    <t>Nota 5 a)</t>
  </si>
  <si>
    <t>Sistema de detección y alarma de incendios</t>
  </si>
  <si>
    <t>Nota 5 b)</t>
  </si>
  <si>
    <t>La estructura delimitadora es independiente del resto del edificio</t>
  </si>
  <si>
    <t>El posible colapso no afecta a los establecimientos colindantes</t>
  </si>
  <si>
    <t>El sector cuenta con un sistema de control de humos</t>
  </si>
  <si>
    <t>Nota 5 c)</t>
  </si>
  <si>
    <t>El sector dispone de una boca de incendio equipada (BIE)</t>
  </si>
  <si>
    <t>Nota 5 d)</t>
  </si>
  <si>
    <t>Condiciones de máxima seguridad (Información)</t>
  </si>
  <si>
    <t>Nota 5 e)</t>
  </si>
  <si>
    <t>Cerrar Nota 5</t>
  </si>
  <si>
    <t>SECCIÓN 2. PROPAGACIÓN EXTERIOR</t>
  </si>
  <si>
    <t>La distancia entre el establecimiento y los establecimientos circundantes es mayor que 0 metros y menor que 3 metros</t>
  </si>
  <si>
    <t>Tabla 2.2.1</t>
  </si>
  <si>
    <t>Resistencia al fuego de los elementos separadores con otros establecimientos</t>
  </si>
  <si>
    <t>Reacción elementos de fachada</t>
  </si>
  <si>
    <t>Reacción cámaras ventiladas</t>
  </si>
  <si>
    <t>SECCIÓN 3. EVACUACIÓN DE OCUPANTES</t>
  </si>
  <si>
    <t>Numero de personas previstas que ocupen el sector</t>
  </si>
  <si>
    <t>Distancia a la salida</t>
  </si>
  <si>
    <t>Ocupación</t>
  </si>
  <si>
    <t>El sector cuenta con al menos dos salidas alterntivas</t>
  </si>
  <si>
    <t>Número mínimo de salidas</t>
  </si>
  <si>
    <t>Nota 4 a</t>
  </si>
  <si>
    <t>Distancia a la salida (1 salida)</t>
  </si>
  <si>
    <t>Nota 4 b</t>
  </si>
  <si>
    <t>Distancia del recorrido sin alternativa (2 salidas)</t>
  </si>
  <si>
    <t>El sector cuenta con dos salidas al menos y un sistema de extinción automática</t>
  </si>
  <si>
    <t>Nota 4 c</t>
  </si>
  <si>
    <t>Distancia a la salida más proxima (2 salidas)</t>
  </si>
  <si>
    <t>SECCIÓN 4. INTERVENCIÓN DE LOS BOMBEROS</t>
  </si>
  <si>
    <t>CONDICIONES DE APROXIMACIÓN A LOS EDIFICIOS</t>
  </si>
  <si>
    <t>Anchura minima libre en tramos rectos</t>
  </si>
  <si>
    <t>Capacidad portante del vial kN/m2</t>
  </si>
  <si>
    <t>Radio exterior del carril de rodadura</t>
  </si>
  <si>
    <t>Altua mínima libre de gálibo</t>
  </si>
  <si>
    <t>Radio interior carril de rodadura</t>
  </si>
  <si>
    <t>Anchura libre de circulación</t>
  </si>
  <si>
    <t>Entorno en los edificios si la superficie supera los 1000 m2 y una altura de evacuacion descendente de 9 m</t>
  </si>
  <si>
    <t>Separación máxima hasta la fachada (m)</t>
  </si>
  <si>
    <t>Pendiente máxima de rampas de aproximación %</t>
  </si>
  <si>
    <t>Altura libre (m)</t>
  </si>
  <si>
    <t>La del edificio</t>
  </si>
  <si>
    <t>Distancia de las puertas de acceso a cada zona (m)</t>
  </si>
  <si>
    <t>Resistencia al punzonamiento del suelo circundate kN</t>
  </si>
  <si>
    <t>Maniobra de salida del vehículo, radio (m)</t>
  </si>
  <si>
    <t>Maniobra de salida de vehículo, ancho (m)</t>
  </si>
  <si>
    <t>Maniobra de salida de vehículo, alto m</t>
  </si>
  <si>
    <t>Distancia del perimetro exterior a la localización de la columna seca del edificio (si la hay)</t>
  </si>
  <si>
    <t>Huecos en la fachada</t>
  </si>
  <si>
    <t>Altura de alfeizar máximo (m)</t>
  </si>
  <si>
    <t>Longitud horizontal minima (m)</t>
  </si>
  <si>
    <t>Longitud vertical mínima (m)</t>
  </si>
  <si>
    <t>Distancia máxima entre los ejes de los huecos (m)</t>
  </si>
  <si>
    <t>Altura de uno de los accesos peatonales (m)</t>
  </si>
  <si>
    <t>Los elementos de seguridad situados cerca de los huecos deben tener una altura máxima (m)</t>
  </si>
  <si>
    <t>SECCIÓN 5. RESISTENCIA ESTRUCTURAL AL INCENDIO</t>
  </si>
  <si>
    <t>El establecimiento cuenta con una cubierta ligera no prevista para la evacuación</t>
  </si>
  <si>
    <t>Tabla 2.5.2</t>
  </si>
  <si>
    <t>Nota 1.3.1</t>
  </si>
  <si>
    <t>Reistencia elementos estructurales</t>
  </si>
  <si>
    <t>Tabla 2.5.3</t>
  </si>
  <si>
    <t>Nota 1.3.2</t>
  </si>
  <si>
    <t xml:space="preserve">ANEXO III. Requisitos dotacionales de instalaciones de protección activa contra incendios </t>
  </si>
  <si>
    <t>Superficie total de establecimiento (m)</t>
  </si>
  <si>
    <t>Dispositivos de detección automática</t>
  </si>
  <si>
    <t>Dispositivos de detección manual</t>
  </si>
  <si>
    <t>Megafonía, alarma local y alarma general</t>
  </si>
  <si>
    <t>Hidrantes para el llenado de camiones</t>
  </si>
  <si>
    <t>Hidrantes impulsión directa</t>
  </si>
  <si>
    <t>Caudal minimo necesario de los hidrantes de impulsión directa</t>
  </si>
  <si>
    <t>Tiempo de autonomia de los hidrantes de impulsión directa</t>
  </si>
  <si>
    <t>Eficacia minima del extintor</t>
  </si>
  <si>
    <t>Nº de extintores</t>
  </si>
  <si>
    <t>Extintores portátiles</t>
  </si>
  <si>
    <t>Necesita BIES</t>
  </si>
  <si>
    <t>Tipo BIE</t>
  </si>
  <si>
    <t>Necesita Columna Seca</t>
  </si>
  <si>
    <t>Necesita Extinción Automática</t>
  </si>
  <si>
    <t>Necesita control de humos</t>
  </si>
  <si>
    <t>Guardar Caso</t>
  </si>
  <si>
    <t>Configuración Edificio</t>
  </si>
  <si>
    <t>Nº Exp</t>
  </si>
  <si>
    <t>Eliminar los sectores</t>
  </si>
  <si>
    <t>NRI Edificio</t>
  </si>
  <si>
    <t>Cliente</t>
  </si>
  <si>
    <t>Exportar Memoria</t>
  </si>
  <si>
    <t>Superficie Edificio</t>
  </si>
  <si>
    <t>Nombre del proyecto</t>
  </si>
  <si>
    <t>B</t>
  </si>
  <si>
    <t>Sobre Rasante</t>
  </si>
  <si>
    <t>Almacenamiento</t>
  </si>
  <si>
    <t>ADMITIDO</t>
  </si>
  <si>
    <t>REI 90</t>
  </si>
  <si>
    <t>REI 45</t>
  </si>
  <si>
    <t>REI 22.5</t>
  </si>
  <si>
    <t>Zonas ocupables, en general</t>
  </si>
  <si>
    <t>C-s2,d0</t>
  </si>
  <si>
    <t>CFL-s1</t>
  </si>
  <si>
    <t>REI 180</t>
  </si>
  <si>
    <t>R 90</t>
  </si>
  <si>
    <t>Si</t>
  </si>
  <si>
    <t>No</t>
  </si>
  <si>
    <t>25 mm</t>
  </si>
  <si>
    <t>SI</t>
  </si>
  <si>
    <t>Bajo 2</t>
  </si>
  <si>
    <t>C</t>
  </si>
  <si>
    <t>REI 60</t>
  </si>
  <si>
    <t>REI 30</t>
  </si>
  <si>
    <t>REI 15</t>
  </si>
  <si>
    <t>R 60</t>
  </si>
  <si>
    <t>Alto 6</t>
  </si>
  <si>
    <t>Parametros del informe</t>
  </si>
  <si>
    <t>Valor</t>
  </si>
  <si>
    <t>Ejemplo</t>
  </si>
  <si>
    <t>Anexo I</t>
  </si>
  <si>
    <t>Nombre Empresa</t>
  </si>
  <si>
    <t>A cabana</t>
  </si>
  <si>
    <t>Dedicada a la producción de conservas</t>
  </si>
  <si>
    <t>Dirección física empresa</t>
  </si>
  <si>
    <t>tiene previsto acondicionar un establecimiento industrial ubicado en la Crtra. N-VI, km 511. Outeiro de Rei – (Lugo)</t>
  </si>
  <si>
    <t>Documentacion Recibida 1</t>
  </si>
  <si>
    <t>Planos de la reforma a realizar, archivo 0008-23-M01-C01 04ARQ.dwg, de fecha 11 de noviembre de 2024</t>
  </si>
  <si>
    <t>Documentacion Recibida 2</t>
  </si>
  <si>
    <t>Libro del edificio de fecha abril de 2022.</t>
  </si>
  <si>
    <t>Documentacion Recibida 3</t>
  </si>
  <si>
    <t>Fichas técnicas de paneles sándwich instalados en cubierta y cámaras frigoríficas</t>
  </si>
  <si>
    <t>Documentacion Recibida 4</t>
  </si>
  <si>
    <t>Listado de productos a almacenar en almacén de Producto terminado, almacén seco, cámara refrigerado, cámara congelados y almacén APQ</t>
  </si>
  <si>
    <t>Documentacion Recibida 5</t>
  </si>
  <si>
    <t>Planos de instalación de PCI existente de abril de 2022.</t>
  </si>
  <si>
    <t>Ubicación y Catastral</t>
  </si>
  <si>
    <t xml:space="preserve">El establecimiento objeto de estudio está situada en la parcela con referencia catastral XXXXXXX Parcela 10A del Polígono industrial de Espiñeira, CP 15990 – Boiro (A Coruña). </t>
  </si>
  <si>
    <t>Linde Norte</t>
  </si>
  <si>
    <t>Con una zona verde arbolada</t>
  </si>
  <si>
    <t>Linde Este</t>
  </si>
  <si>
    <t>Con otra parecela propiedad de Jealsa Foods</t>
  </si>
  <si>
    <t>Linde Sur</t>
  </si>
  <si>
    <t>Egalsa soluciones de envasado</t>
  </si>
  <si>
    <t>Linde Oeste</t>
  </si>
  <si>
    <t>Con el vial del parque empresarial de Espiñeira</t>
  </si>
  <si>
    <t>Estructura Edificio</t>
  </si>
  <si>
    <t>La nave tiene su estructura principalmente metálica y los muros de cerramiento exterior son de fábrica ladrillo/bloque hormigón y cubierta de panel sándwich PIR/PUR.</t>
  </si>
  <si>
    <t>Documentacion 1</t>
  </si>
  <si>
    <t>R.D. 164/2025, de 4 de marzo, por el que se aprueba el Reglamento de seguridad contra incendios en los establecimientos industriales.</t>
  </si>
  <si>
    <t>Documentacion 2</t>
  </si>
  <si>
    <t>R.D. 513/2017, de 22 de mayo, por el que se aprueba el Reglamento de Instalaciones de protección contra incendios.</t>
  </si>
  <si>
    <t>Documentacion 3</t>
  </si>
  <si>
    <t>Documento Básico: SI Seguridad en caso de Incendio del Código Técnico de la Edificación -CTE-, aprobado por el RD 314/2006, de 17 de marzo de 2.006 y modificado por disposiciones posteriores –última por Real Decreto 164/2025 de 4 de marzo (BOE 10/04/2025)–.</t>
  </si>
  <si>
    <t>Documentacion 4</t>
  </si>
  <si>
    <t>R.D. 337/2014, de 9 de mayo, por el que se aprueban el Reglamento sobre condiciones técnicas y garantías de seguridad en instalaciones eléctricas de alta tensión y sus Instrucciones Técnicas Complementarias ITC-RAT 01 a</t>
  </si>
  <si>
    <t>Documentacion 5</t>
  </si>
  <si>
    <t>R.D. 842/2002, de 2 de agosto, por el que se aprueba el Reglamento electrotécnico para baja tensión y sus instrucciones técnicas complementarias ITC-BT-40 “instalaciones generadoras de baja tensión” e ITC-BT-48 “Instalaciones de receptores. Transformadores y autotransformadores. Reactancias y rectificadores. Condensadores”.</t>
  </si>
  <si>
    <t>Documentacion 6</t>
  </si>
  <si>
    <t>R.D. 552/2019, de 27 de septiembre, por el que se aprueban el Reglamento de seguridad para instalaciones frigoríficas y sus instrucciones técnicas complementarias</t>
  </si>
  <si>
    <t>Documentacion 7</t>
  </si>
  <si>
    <t>R.D. 656/2017, de 23 de junio, por el que se aprueba el Reglamento de almacenamiento de productos químicos y sus instrucciones técnicas complementarias MIE APQ-1, MIE APQ-2, MIE APQ-3, MIE APQ-4, MIE APQ5, MIE APQ-6, MIE APQ-7, MIE APQ-8, MIE APQ-9 y MIE APQ-10.</t>
  </si>
  <si>
    <t>Documentacion 8</t>
  </si>
  <si>
    <t xml:space="preserve"> 809/2021, de 21 de septiembre, por el que se aprueba el Reglamento de equipos a presión y sus instrucciones técnicas complementarias ITC-EP-1 “Calderas” e ITC-EP-6 “Recipientes a presión transportables”.</t>
  </si>
  <si>
    <t>Documentacion 9</t>
  </si>
  <si>
    <t>R.D. 1523/1999, de 1 de octubre, por el que se modifica el Reglamento de instalaciones petrolíferas, aprobado por Real Decreto 2085/1994, de 20 de octubre, y las instrucciones técnicas complementarias MI-IP03, aprobada por el Real Decreto 1427/1997, de 15 de septiembre, y MI-IP04, aprobada por el Real Decreto 2201/1995, de 28 de diciembre.</t>
  </si>
  <si>
    <t>Documentacion 10</t>
  </si>
  <si>
    <t>R.D. 485/1997, de 14 de abril, sobre disposiciones mínimas en materia de señalización de seguridad y salud en el trabajo</t>
  </si>
  <si>
    <t>Documentacion 11</t>
  </si>
  <si>
    <t>R.D. 298/2021, de 27 de abril, por el que se modifican diversas normas reglamentarias en materia de seguridad industrial.</t>
  </si>
  <si>
    <t>Documentacion 12</t>
  </si>
  <si>
    <t>Normas UNE y EN recogidas en los citados Reglamentos, Normas y Ordenanzas.</t>
  </si>
  <si>
    <t>Codigo 1</t>
  </si>
  <si>
    <t>CÓDIGO PRÁCTICO para el diseño, instalación, puesta en marcha y mantenimiento de Sistemas de Detección de Humo por Aspiración (ASD) de Tecnifuego AESPI.</t>
  </si>
  <si>
    <t>Anexo II</t>
  </si>
  <si>
    <t>Obras Previstas 1</t>
  </si>
  <si>
    <t>Para garantizar la correcta sectorización del edificio será necesario ejecutar trabajos de consolidación de los sectores existentes, así como la nueva delimitación de algunos sectores que no existen en el estado actual del edificio.</t>
  </si>
  <si>
    <t>Obras Previstas 2</t>
  </si>
  <si>
    <t>Ademas habrá que ampliar la bodega</t>
  </si>
  <si>
    <t>Obras Previstas 3</t>
  </si>
  <si>
    <t>En el almacén PT se retirará al falso techo existente y se ejecutará una nueva sectorización mediante muro de panel sándwich de lana de roca + estructura portante de acero REI-90. Se ejecutarán los encuentros con cubierta y solera mediante la colocación de L de lana de roca y recubrimiento de chapa galvanizada. La sectorización se protegerá ante impacto por ambas caras mediante la colocación de tubo de acero laminado anclado al suelo.</t>
  </si>
  <si>
    <t>Obras Previstas 4</t>
  </si>
  <si>
    <t xml:space="preserve">Se deberá consolidar la sectorización entre el sector de producción y el de cámaras mediante la ejecución de la división de sectores sobre el plenum. Será necesario ejecutar un nuevo muro de panel sándwich ACH de lana de roca que dé continuidad al panel delimitador existente en planta baja. Se ejecutarán los encuentros con cubierta y plenum mediante la colocación de L de lana de roca y recubrimiento de chapa galvanizada. </t>
  </si>
  <si>
    <t>Obras Previstas 5</t>
  </si>
  <si>
    <t xml:space="preserve">Deberán realizarse trabajos de refuerzo de la resistencia al fuego de los elementos constructivos que delimitan sectores de incendios. </t>
  </si>
  <si>
    <t>Obras Previstas 6</t>
  </si>
  <si>
    <t xml:space="preserve">Será necesario garantizar que los sellados de los paneles prefabricados de hormigón de fachada alcanzan un REI-90, para lo que se aplicará sistema para sellado de juntas con masilla elastomérica intumescente PROMASEAL-A EI-90. </t>
  </si>
  <si>
    <t>Obras Previstas 7</t>
  </si>
  <si>
    <t xml:space="preserve">Deberá garantizarse la resistencia al fuego de las franjas de cubierta que delimitan sectores de incendio y locales de riesgo especial, que se realizará mediante el desmontaje de paneles de la cubierta existente para ser reemplazados por nuevos paneles de lana de roca tipo ACH EI-90, del mismo espesor que el panel retirado. </t>
  </si>
  <si>
    <t>Obras Previstas 8</t>
  </si>
  <si>
    <t>Será necesario consolidar la sectorización en los encuentros entre paramentos verticales y cubiertas mediante el sellado de huecos entre viguetas con la aplicación de lana de roca + masilla EI-90 en todos los huecos existentes.  Se realizarán las obras de sectorización necesarias tanto en paramentos verticales como horizontales en todos los cambios  de sector y locales de riesgo especial, de manera que se cumplan los requisitos de separaciones y resistencias al fuego necesarias para garantizar la sectorización de cada cuarto.</t>
  </si>
  <si>
    <t>Área 1</t>
  </si>
  <si>
    <t>Producción</t>
  </si>
  <si>
    <t>Suelo Área 1</t>
  </si>
  <si>
    <t xml:space="preserve">Suelo en solera de hormigón revestida con resina epoxy  B-s1, d0; paredes con revestimiento apto para industria alimentaria; falso techo de panel sándwich GIC 200 de COLDKIT, EI-60 y B-s1, d0; estructura portante de prefabricados de hormigón. </t>
  </si>
  <si>
    <t>Área 2</t>
  </si>
  <si>
    <t>Oficinas:</t>
  </si>
  <si>
    <t>Suelo Área 2</t>
  </si>
  <si>
    <t>Suelos de gres porcelánico MARAZZI, paredes enfoscadas y pintadas en zonas de fábrica o encintadas y pintadas en zonas de tabique de cartón yeso, falsos techos registrables modulares de placa de yeso.</t>
  </si>
  <si>
    <t>Área 3</t>
  </si>
  <si>
    <t>Almacén PT:</t>
  </si>
  <si>
    <t>Suelo Área 3</t>
  </si>
  <si>
    <t xml:space="preserve">Suelo en solera de hormigón revestida con resina epoxy B-s1, d0; paredes con revestimiento apto para industria alimentaria; falso techo de panel sándwich GIC 200 de COLDKIT, EI-60 y B-s1, d0; estructura portante de prefabricados de hormigón. </t>
  </si>
  <si>
    <t>Área 4</t>
  </si>
  <si>
    <t xml:space="preserve">Cámaras frigoríficas: </t>
  </si>
  <si>
    <t>Suelo Área 4</t>
  </si>
  <si>
    <t xml:space="preserve">Suelo en solera de hormigón revestida con resina epoxy  B-s1, d0; paredes con panel sándwich especial para cámara frigorífica GIC 200 de COLDKIT, EI-60 y B-s1, d0; estructura portante de prefabricados de hormigón. </t>
  </si>
  <si>
    <t>Área 5</t>
  </si>
  <si>
    <t>Sala de baterías:</t>
  </si>
  <si>
    <t>Suelo Área 5</t>
  </si>
  <si>
    <t xml:space="preserve">Suelo en solera de hormigón revestida con resina epoxy  B-s1, d0; paredes y estructura portante en prefabricados de hormigón, cubierta con forjado colaborante de hormigón armado. </t>
  </si>
  <si>
    <t xml:space="preserve">Taller mecánico: </t>
  </si>
  <si>
    <t xml:space="preserve">Suelo en solera de hormigón revestida con resina epoxy  B-s1, d0; paredes, estructura portante y forjado superior en prefabricados de hormigón. </t>
  </si>
  <si>
    <t>Área 6</t>
  </si>
  <si>
    <t xml:space="preserve">Almacén seco: </t>
  </si>
  <si>
    <t>Suelo Área 6</t>
  </si>
  <si>
    <t xml:space="preserve">Suelo en solera de hormigón revestida con resina epoxy  B-s1, d0; paredes y estructura portante en prefabricados de hormigón, cubierta en panel sándwich tipo PUR reacción al fuego Cs3, d0, que cumple con la exigencia del RSCIEI. </t>
  </si>
  <si>
    <t>Área 7</t>
  </si>
  <si>
    <t xml:space="preserve">Vestuarios: </t>
  </si>
  <si>
    <t>Suelo Área 7</t>
  </si>
  <si>
    <t xml:space="preserve">Suelos de gres porcelánico MARAZZI, paredes enfoscadas y pintadas en zonas de fábrica o encintadas y pintadas en zonas de tabique de cartón yeso, falsos techos registrables modulares de placa de yeso. </t>
  </si>
  <si>
    <t>Área 8</t>
  </si>
  <si>
    <t xml:space="preserve">Cuartos de instalaciones: </t>
  </si>
  <si>
    <t>Suelo Área 8</t>
  </si>
  <si>
    <t xml:space="preserve">Suelo en solera de hormigón revestida con resina epoxy  B-s1, d0; paredes, estructura portante y forjado superior en prefabricados de hormigón en los cuartos de planta baja y cubierta en panel sándwich tipo PUR reacción al fuego Cs3, d0, en el de planta 1, que no cumple con las condiciones exigidas por el CTE para los locales de riesgo especial. </t>
  </si>
  <si>
    <t>Área 9</t>
  </si>
  <si>
    <t xml:space="preserve">Almacén APQ: </t>
  </si>
  <si>
    <t>Suelo Área 9</t>
  </si>
  <si>
    <t xml:space="preserve">Suelo en solera de hormigón revestida con resina epoxy  B-s1, d0; paredes, estructura portante y forjado superior en prefabricados de hormigón. Deberá ejecutarse un falso techo con una reacción al fuego al menos Bs1,d0 en el local de riesgo especial de máquinas frigoríficas. </t>
  </si>
  <si>
    <t>Área 10</t>
  </si>
  <si>
    <t>Suelo Área 10</t>
  </si>
  <si>
    <t>Trabajos Cubierta</t>
  </si>
  <si>
    <t>Deberán realizarse trabajos de sectorización en la cubierta existente, dotándola con franjas cortafuegos en todos los cambios de sector y locales de riesgo especial. Las franjas cortafuegos tendrán una reacción al fuego de al menos Bs1,d0.</t>
  </si>
  <si>
    <t>Fachada Edificio</t>
  </si>
  <si>
    <t xml:space="preserve">La nave objeto de estudio tiene una fachada ejecutada en prefabricados de hormigón macizo de 16cm de espesor, y sus huecos están distribuidos de manera tal que se cumple con los requerimientos de sectorización y franjas exigida por la normativa de aplicación. </t>
  </si>
  <si>
    <t>Cubierta Edificio</t>
  </si>
  <si>
    <t xml:space="preserve">La nave objeto de estudio tiene una cubierta de panel sándwich tipo PUR que no dispone de la resistencia al fuego requerida en las franjas de cubierta que delimitan los sectores de incendios. </t>
  </si>
  <si>
    <t>Trabajos Cubierta 2</t>
  </si>
  <si>
    <t xml:space="preserve">Será necesario realizar trabajos de adecuación de la cubierta existente mediante la retirada de al menos un panel por cada lado de cada compartimentación de incendios para su sustitución por nuevos paneles sándwich de lana de roca con una resistencia al fuego de al menos EI-90. Estas actuaciones se definen en detalle en los planos de actuaciones pasivas y en el presupuesto del presente documento. </t>
  </si>
  <si>
    <t>Evacuación Zonas</t>
  </si>
  <si>
    <t xml:space="preserve">El edificio objeto de estudio tiene parte industrial y parte no industrial egida por el CTE. Cada una de estas zonas evacua de manera independiente hacia el exterior. </t>
  </si>
  <si>
    <t>Obras Evacuación</t>
  </si>
  <si>
    <t>Para garantizar la correcta evacuación del establecimiento será necesario ejecutar obras de adaptación en el edificio existente. En la zona de oficinas, será necesario ejecutar un tabique de cierre entre el altillo de instalaciones y el núcleo de escaleras y ascensor. Este muro deberá ser EI-90 y estar dotado de puertas cortafuegos EI2 60-C5.</t>
  </si>
  <si>
    <t>Puerta Peatonal</t>
  </si>
  <si>
    <t xml:space="preserve">Será necesario garantizar que el portón de comunicación entre el almacén PT y la zona de producción cuenta con una puerta peatonal que cumpla con las condiciones del documento DB-SUA 2-1.2.3 y tienen marcado CE de conformidad con los correspondientes Reglamentos y Directivas Europeas. </t>
  </si>
  <si>
    <t>Puerta Evacuación</t>
  </si>
  <si>
    <t>En la zona de producción se propone la apertura de nueva puerta de evacuación hacia la zona sur de la parcela, de manera que se recorten los recorridos en esta zona.</t>
  </si>
  <si>
    <t>Obras Puertas</t>
  </si>
  <si>
    <t>Se prevé la instalación de nuevas puertas para salida en caso de emergencia en el Sector 1, 2 y 5. Todas las puertas de evacuación del perímetro de la nave tendrán un ancho de paso libre mínimo de 80cm, dispondrán de barra antipánico por el interior y pomo por el exterior, cierrapuertas y cerradura que permanecerá desbloqueada durante todo el horario de actividad.</t>
  </si>
  <si>
    <t>Obras Pasillos</t>
  </si>
  <si>
    <t xml:space="preserve">Teniendo en cuenta que los pasillos más estrechos se encuentran en la zona oficinas, siendo estos de 2,20 metros y que el número máximo de personas que podrán pasar por los pasillos y/o rampas serán 440 personas, se comprueba que la dimensión de los medios de evacuación es superior a la revista en cualquier sector o zona del establecimiento. </t>
  </si>
  <si>
    <t>Caracteristicas Escalera</t>
  </si>
  <si>
    <t xml:space="preserve">La escalera existente en oficinas tiene un ancho en planos de 1.20 metros para evacuación descendente, y debe salvar 2 plantas, por lo que cuenta con una capacidad de 192 personas. La escalera que conecta la planta 1 de oficinas con la zona de producción tiene un ancho en planos de 1.40 metros para evacuación descendente, y debe salvar una planta por lo que cuenta con una capacidad de 184 personas </t>
  </si>
  <si>
    <t>Protección Escalera</t>
  </si>
  <si>
    <t>Será necesario proteger las escaleras no protegidas interiores mediante la aplicación de pintura ignífuga hasta alcanzar una resistencia de al menos R-60.</t>
  </si>
  <si>
    <t>Acceso Público</t>
  </si>
  <si>
    <t>El acceso a la nave se realiza por un vial público en el linde oeste de la parcela. El acceso a la parcela permite el giro de los vehículos de emergencia al cumplir con el espacio mínimo de la corona circular exigido por la normativa de aplicación.</t>
  </si>
  <si>
    <t>Maniobras Perímetro</t>
  </si>
  <si>
    <t xml:space="preserve">El edificio cuenta con espacio de maniobra apto para el paso de vehículos en todo su perímetro. También dispone de diferentes huecos en las fachadas que cumplen con las dimensiones mínimas horizontales y verticales para que permitan el acceso desde el exterior al personal del servicio de extinción de incendios. </t>
  </si>
  <si>
    <t>Material Estrutura</t>
  </si>
  <si>
    <t>Según datos facilitados por la propiedad y la visita realizada, la estructura portante del edificio industrial es de prefabricados de hormigón tanto en vigas como en soportes y cierres perimetrales. Según el proyecto disponible la resistencia al fuego de la estructura es R60, la estructura principal de la cubierta y sus soportes son de prefabricados de hormigón tanto en vigas como en viguetas, la cubierta del edificio industrial es de panel sándwich tipo PUR en toda la nave. La carga permanente del establecimiento industrial está constituida por la estructura principal de cubierta, los pórticos y subestructura de cubiertas y el material de cobertura.</t>
  </si>
  <si>
    <t>Material Forjado</t>
  </si>
  <si>
    <t>El forjado superior de los vestuarios está ejecutado en losa alveolar con una resistencia según proyecto y certificado del instalador de R60. Será necesario proyectar la cara inferior del forjado en los locales de vestuarios para garantizar al menos un R90.</t>
  </si>
  <si>
    <t>Anexo III</t>
  </si>
  <si>
    <t>Tipo Bie</t>
  </si>
  <si>
    <t>En este caso, las BIES instaladas son de 25mm con boca adicional de 45mm.</t>
  </si>
  <si>
    <t>Descripción Hidrantes</t>
  </si>
  <si>
    <t>A pesar de que ningún sector de incendios es mayor a 2.500 m² con riesgo alto, la nave objeto de estudio tiene un sistema de hidrantes exteriores, pero estos no cumplen con las distancias máximas de cobertura de 40m por lo que será necesario complementar la instalación con nuevos hidrantes en todo el perímetro de la nave para disponer de un sistema de hidrantes válido y acorde al reglamento.</t>
  </si>
  <si>
    <t>Extintores Propuestos</t>
  </si>
  <si>
    <t xml:space="preserve">Se propone instalar extintores de polvo de 6kg y además de extintores de CO2 de 5Kg en zonas con riesgos eléctricos. </t>
  </si>
  <si>
    <t>Sistema BIES Existente</t>
  </si>
  <si>
    <t xml:space="preserve">No obstante, puesto que existe un sistema de BIEs en todo el edificio, se adecúa el sistema existente para disponer de un sistema válido acorde a la normativa. </t>
  </si>
  <si>
    <t>Iluminación Propuesta</t>
  </si>
  <si>
    <t>Se propone un sistema de alumbrado de emergencia que cubra todos los sectores.</t>
  </si>
  <si>
    <t>Fecha y Ubicación</t>
  </si>
  <si>
    <t>A Coruña, 30 de septiembre de 2025</t>
  </si>
  <si>
    <t>Clave</t>
  </si>
  <si>
    <t>Ruta</t>
  </si>
  <si>
    <t>PlanoGeneral</t>
  </si>
  <si>
    <t>Anx. II Sup</t>
  </si>
  <si>
    <r>
      <rPr>
        <sz val="14"/>
        <color rgb="FF404040"/>
        <rFont val="Century Gothic"/>
        <family val="2"/>
      </rPr>
      <t xml:space="preserve">Para los </t>
    </r>
    <r>
      <rPr>
        <b/>
        <sz val="14"/>
        <color rgb="FF404040"/>
        <rFont val="Century Gothic"/>
        <family val="2"/>
      </rPr>
      <t>SECTORES DE USO INDUSTRIAL</t>
    </r>
    <r>
      <rPr>
        <sz val="14"/>
        <color rgb="FF404040"/>
        <rFont val="Century Gothic"/>
        <family val="2"/>
      </rPr>
      <t xml:space="preserve"> la máxima superficie admisible de cada sector de incendio viene determinada por su caracterización, tanto de configuración tipo {tipo} como de nivel de riesgo intrínseco {nri}</t>
    </r>
  </si>
  <si>
    <t>Anx. II Reac</t>
  </si>
  <si>
    <r>
      <rPr>
        <sz val="11"/>
        <color rgb="FF404040"/>
        <rFont val="Century Gothic"/>
        <family val="2"/>
      </rPr>
      <t xml:space="preserve">Conforme a la normativa actual, para los </t>
    </r>
    <r>
      <rPr>
        <b/>
        <sz val="11"/>
        <color rgb="FF404040"/>
        <rFont val="Century Gothic"/>
        <family val="2"/>
      </rPr>
      <t>LOCALES DE RIESGO ESPECIAL, PATINILLOS DE SECTORES DE USO ADMINISTRATIVO y SECTORES DE USO ADMINISTRATIVO</t>
    </r>
    <r>
      <rPr>
        <sz val="11"/>
        <color rgb="FF404040"/>
        <rFont val="Century Gothic"/>
        <family val="2"/>
      </rPr>
      <t xml:space="preserve"> la reacción al fuego de los materiales de revestimiento o acabado superficial, estará de acuerdo a lo establecido en la TABLA 4.1. de la Sección 1. Propagación interior del CTE-DB-SI, según se detalla a continuación:</t>
    </r>
  </si>
  <si>
    <t>Anx. II Res Sec</t>
  </si>
  <si>
    <r>
      <rPr>
        <sz val="11"/>
        <color rgb="FF404040"/>
        <rFont val="Century Gothic"/>
        <family val="2"/>
      </rPr>
      <t xml:space="preserve">Confome a la normativa actual, para los sectores de </t>
    </r>
    <r>
      <rPr>
        <b/>
        <sz val="11"/>
        <color rgb="FF404040"/>
        <rFont val="Century Gothic"/>
        <family val="2"/>
      </rPr>
      <t>USO INDUSTRIAL</t>
    </r>
    <r>
      <rPr>
        <sz val="11"/>
        <color rgb="FF404040"/>
        <rFont val="Century Gothic"/>
        <family val="2"/>
      </rPr>
      <t>, la resistencia al fuego exigible a los elementos constructivos delimitadores de los sectores de incendio industriales previstos, viene definida por los valores de tiempo indicados en la TABLA 2.2. “ESTABILIDAD AL FUEGO DE ELEMENTOS ESTRUCTURALES PORTANTES”, exigido por el apartado 5 “RESISTENCIA AL FUEGO DE ELEMENTOS CONSTRUCTIVOS DE CERRAMIENTO” del ANEXO II del RSCIEI</t>
    </r>
  </si>
  <si>
    <t>Anx. II Res Ext</t>
  </si>
  <si>
    <r>
      <rPr>
        <sz val="11"/>
        <color rgb="FF404040"/>
        <rFont val="Century Gothic"/>
        <family val="2"/>
      </rPr>
      <t xml:space="preserve">Para limitar la propagación exterior horizontal entre los distintos sectores, ya sean de USO INDUSTRIAL, ADMINISTRATIVO o L.R.E., </t>
    </r>
    <r>
      <rPr>
        <b/>
        <sz val="11"/>
        <color rgb="FF404040"/>
        <rFont val="Century Gothic"/>
        <family val="2"/>
      </rPr>
      <t>ver en el presente apartado 5 del anexo II, las recomendación de ejecutar franjas cortafuego verticales</t>
    </r>
    <r>
      <rPr>
        <sz val="11"/>
        <color rgb="FF404040"/>
        <rFont val="Century Gothic"/>
        <family val="2"/>
      </rPr>
      <t xml:space="preserve"> en cada uno de los edificios, objeto del alcance de esta memoria.</t>
    </r>
  </si>
  <si>
    <t>Anx. II Ocu</t>
  </si>
  <si>
    <t xml:space="preserve">Los medios de evacuación se recomienda que se dimensionen para una OCUPACIÓN (P). Para los sectores de USO INDUSTRIAL el cálculo de dicha ocupación se recomienda que se determinen por el APARTADO 6 del ANEXO II del RSCIEI </t>
  </si>
  <si>
    <t>Anx. II Sal</t>
  </si>
  <si>
    <r>
      <rPr>
        <sz val="11"/>
        <color rgb="FF404040"/>
        <rFont val="Century Gothic"/>
        <family val="2"/>
      </rPr>
      <t xml:space="preserve">Para </t>
    </r>
    <r>
      <rPr>
        <b/>
        <sz val="11"/>
        <color rgb="FF404040"/>
        <rFont val="Century Gothic"/>
        <family val="2"/>
      </rPr>
      <t>SECTORES DE INCENDIO DE USO INDUSTRIAL,</t>
    </r>
    <r>
      <rPr>
        <sz val="11"/>
        <color rgb="FF404040"/>
        <rFont val="Century Gothic"/>
        <family val="2"/>
      </rPr>
      <t xml:space="preserve"> ubicados en edificios tipo {tipo}, el número mínimo de salidas y máxima longitud de los recorridos de evacuación, según su nivel de riesgo intrínseco {nri}</t>
    </r>
  </si>
  <si>
    <t>Anx. II Res</t>
  </si>
  <si>
    <r>
      <rPr>
        <sz val="11"/>
        <color rgb="FF404040"/>
        <rFont val="Century Gothic"/>
        <family val="2"/>
      </rPr>
      <t xml:space="preserve">Conforme a la normativa actual, para los </t>
    </r>
    <r>
      <rPr>
        <b/>
        <sz val="11"/>
        <color rgb="FF404040"/>
        <rFont val="Century Gothic"/>
        <family val="2"/>
      </rPr>
      <t>SECTORES DE USO INDUSTRIAL</t>
    </r>
    <r>
      <rPr>
        <sz val="11"/>
        <color rgb="FF404040"/>
        <rFont val="Century Gothic"/>
        <family val="2"/>
      </rPr>
      <t xml:space="preserve"> La estabilidad al fuego de los elementos constructivos portantes y las escaleras en recorridos de evacuación, teniendo en cuenta que el establecimiento tiene un configuracion tipo {tipo} y un nivel de riesgo intrinseco {nri}</t>
    </r>
  </si>
  <si>
    <t>Anx. III Det Auto</t>
  </si>
  <si>
    <t xml:space="preserve">A continuación, se indican los sectores a los que se les exige instalar SISTEMAS AUTOMÁTICOS DE DETECCIÓN DE INCENDIOS en base al APARTADO 3 del ANEXO III del RSCIEI para los sectores industriales, teniendo en cuenta que es un establecimiento tipo {tipo} </t>
  </si>
  <si>
    <t>Anx. III Det Man</t>
  </si>
  <si>
    <t>A continuación, se indican los sectores a los que se les exige instalar SISTEMAS MANUALES DE ALARMA DE INCENDIOS en base al APARTADO 4 del ANEXO III del RSCIEI para los sectores industriales, teniendo en cuenta que es un establecimiento tipo {tipo}</t>
  </si>
  <si>
    <t>Anx. III Alr</t>
  </si>
  <si>
    <t>A continuación, se indican los sectores a los que se les exige instalar SISTEMAS DE COMUNICACIÓN DE ALARMA DE INCENDIOS en base al APARTADO 5 del ANEXO III del RSCIEI para los sectores industriales La normativa EXIGE el instalar un sistema de comunicación de alarma en todos los sectores de incendio de los establecimientos industriales.</t>
  </si>
  <si>
    <t>Anx. III Meg</t>
  </si>
  <si>
    <t>La normativa EXIGE el instalar un sistema de comunicación de alarma en todos los sectores de incendio de los establecimientos industriales cuando su superficie construida de todos los sectores de incendio del establecimiento industrial es de 10.000 m2 o superior</t>
  </si>
  <si>
    <t>Anx. III Hid</t>
  </si>
  <si>
    <t>Según lo establecido en la TABLA 3.1. del APARTADO 7, en el ANEXO III del RSCIEI, en un EDIFICIO de TIPO {tipo} cuyo NIVEL DE RIESGO INTRÍNSECO es {nri}, {hidrantes} es necesaria la instalación de un sistema de HIDRANTES EXTERIORES.</t>
  </si>
  <si>
    <t>Anx. III Ext Ext</t>
  </si>
  <si>
    <t xml:space="preserve">A continuación, se indican los sectores a los que se les exige instalar EXTINTORES DE INCENDIOS en base al APARTADO 8 del ANEXO III del RSCIEI para los sectores industriales, </t>
  </si>
  <si>
    <t>Anx. III BIES</t>
  </si>
  <si>
    <t>A continuación, se indican los sectores a los que se les exige instalar BOCAS DE INCENDIOS EQUIPADAS (BIEs) en base al APARTADO 9 del ANEXO III del RSCIEI para los sectores industriales</t>
  </si>
  <si>
    <t>Anx. III Ext Auto</t>
  </si>
  <si>
    <t xml:space="preserve">A continuación, se indican los sectores a los que se les exige instalar SISTEMAS DE ROCIADORES AUTOMÁTICOS en base al APARTADO 11 del ANEXO III del RSCIEI </t>
  </si>
  <si>
    <t>Anx. III Col</t>
  </si>
  <si>
    <t xml:space="preserve">Según se indican en el APARTADO 10 del ANEXO III del RSCIEI </t>
  </si>
  <si>
    <t>Anx. III Hum</t>
  </si>
  <si>
    <t>En los sectores de USO INDUSTRIAL la instalación de un sistema de evacuación de humos viene definida en el APARTADO 7 del ANEXO II del RSCIEI</t>
  </si>
  <si>
    <t>Nota 1.5</t>
  </si>
  <si>
    <t>Nota 1.6</t>
  </si>
  <si>
    <t xml:space="preserve"> Las áreas de incendio en espacios abiertos de configuración tipo D (excepto las </t>
  </si>
  <si>
    <t xml:space="preserve">En las áreas de incendio en espacios abiertos (configuración tipo D), la </t>
  </si>
  <si>
    <t xml:space="preserve">de riesgo bajo nivel 1), deberán estar separadas de otras zonas del mismo </t>
  </si>
  <si>
    <t>distribución de los materiales combustibles deberá cumplir los siguientes requisitos:</t>
  </si>
  <si>
    <t>establecimiento por medio de una de las siguientes opciones:</t>
  </si>
  <si>
    <t xml:space="preserve">a) Para materiales sólidos, o bien materiales envasados, que se encuentren </t>
  </si>
  <si>
    <t xml:space="preserve">a) Por medio de una separación mínima de 5 metros entre el perímetro del área y </t>
  </si>
  <si>
    <t xml:space="preserve">almacenados por medio de un apilamiento unos sobre otros (o agrupados, amontonados, </t>
  </si>
  <si>
    <t xml:space="preserve">los materiales combustibles almacenados en ella que puedan propagar un incendio. En </t>
  </si>
  <si>
    <t>a granel o de otra forma equivalente):</t>
  </si>
  <si>
    <t xml:space="preserve">el caso de que exista un almacenamiento de materiales combustibles de altura mayor </t>
  </si>
  <si>
    <t>i. Superficie máxima de cada pila: 500 m2</t>
  </si>
  <si>
    <t xml:space="preserve">de 5 metros, la separación entre estos y el perímetro del área deberá ampliarse a la </t>
  </si>
  <si>
    <t>.</t>
  </si>
  <si>
    <t xml:space="preserve">misma distancia que dicha altura. En el caso de que la separación citada sea entre dos </t>
  </si>
  <si>
    <t>ii. Volumen máximo de cada pila: 3.500 m3</t>
  </si>
  <si>
    <t xml:space="preserve">áreas del mismo establecimiento, se admitirá que dicha separación esté repartida entre </t>
  </si>
  <si>
    <t>ambas áreas.</t>
  </si>
  <si>
    <t>iii. Altura máxima de cada pila: 15 metros.</t>
  </si>
  <si>
    <t xml:space="preserve">La separación perimetral señalada deberá estar descubierta para permitir la rápida </t>
  </si>
  <si>
    <t xml:space="preserve">iv. Longitud máxima de cada pila: 20 metros. Si la anchura del pasillo entre pilas es </t>
  </si>
  <si>
    <t xml:space="preserve">disipación del calor y humo, salvo que se justifique documentalmente que la cubierta no </t>
  </si>
  <si>
    <t>mayor o igual a 2,5 metros, la longitud máxima será de 45 metros.</t>
  </si>
  <si>
    <t xml:space="preserve">perjudica este objetivo, así como que se cumplen los criterios de abertura fijados en el </t>
  </si>
  <si>
    <t>v. Separación mínima entre pilas: 1,5 metros.</t>
  </si>
  <si>
    <t>anexo I para la configuración tipo D.</t>
  </si>
  <si>
    <t xml:space="preserve">vi. Cada 65 metros de almacenamiento se deberá disponer de una separación </t>
  </si>
  <si>
    <t xml:space="preserve">b) Cuando no exista la separación indicada en el párrafo anterior entre el perímetro </t>
  </si>
  <si>
    <t xml:space="preserve">entre pilas de, al menos, 5 metros de anchura. En el caso de que la altura de la pila sea </t>
  </si>
  <si>
    <t xml:space="preserve">del área y los materiales combustibles almacenados en ella, deberán existir elementos </t>
  </si>
  <si>
    <t xml:space="preserve">mayor de 5 metros, dicha separación deberá ampliarse a la misma distancia que dicha </t>
  </si>
  <si>
    <t xml:space="preserve">compartimentadores que aseguren una resistencia al fuego mínima de EI 60, 90 o 120 </t>
  </si>
  <si>
    <t>altura.</t>
  </si>
  <si>
    <t xml:space="preserve">en áreas de riesgo bajo, medio o alto respectivamente (o REI 60, 90 o 120 si tienen </t>
  </si>
  <si>
    <t xml:space="preserve">b) En otros casos distintos, los materiales se deberán colocar asegurando que se </t>
  </si>
  <si>
    <t xml:space="preserve">función portante) de forma que se garantice la no propagación del incendio del área </t>
  </si>
  <si>
    <t xml:space="preserve">limite la propagación del incendio y se facilite la extinción, de forma que se consiga un </t>
  </si>
  <si>
    <t xml:space="preserve">considerada. Cuando dicha compartimentación se realice por medio de elementos </t>
  </si>
  <si>
    <t xml:space="preserve">resultado equivalente a lo previsto en la letra a). Esta particularidad deberá estar </t>
  </si>
  <si>
    <t xml:space="preserve">separadores verticales situados en el perímetro del área, tales como muros, estos </t>
  </si>
  <si>
    <t>justificada.</t>
  </si>
  <si>
    <t xml:space="preserve">tendrán una altura de, al menos, 1 metro superior a la altura de los materiales </t>
  </si>
  <si>
    <t xml:space="preserve">combustibles almacenados y serán prolongados 1 metro en proyección horizontal en sus </t>
  </si>
  <si>
    <t>extremos laterales.</t>
  </si>
  <si>
    <t xml:space="preserve">En el caso de que una parte del perímetro del área sea colindante con una parte de </t>
  </si>
  <si>
    <t xml:space="preserve">una fachada de un edificio y no exista separación a los materiales combustibles, esa </t>
  </si>
  <si>
    <t xml:space="preserve">parte de la fachada también deberá poseer la citada resistencia al fuego (EI o REI) y las </t>
  </si>
  <si>
    <t xml:space="preserve">dimensiones indicadas anteriormente. Además, en el caso de tener la fachada una altura </t>
  </si>
  <si>
    <t xml:space="preserve">superior a la indicada, no podrá tener zonas cuya resistencia al fuego sea inferior a la EI </t>
  </si>
  <si>
    <t xml:space="preserve">o REI solicitadas hasta, al menos, 5 metros por encima de la altura de los materiales </t>
  </si>
  <si>
    <t xml:space="preserve">combustibles almacenados, pudiendo justificadamente reducirse esta altura hasta un </t>
  </si>
  <si>
    <t xml:space="preserve">mínimo de 1 metro por encima de la altura de los materiales, siempre que se justifique </t>
  </si>
  <si>
    <t xml:space="preserve">que, debido a las características del material almacenado (por su escasa cantidad, baja </t>
  </si>
  <si>
    <t xml:space="preserve">combustibilidad, disposición u otros motivos), dicha separación es suficiente para evitar </t>
  </si>
  <si>
    <t>la propagación.</t>
  </si>
  <si>
    <t xml:space="preserve">En el caso de existencia de puertas en la fachada que requieran de resistencia al </t>
  </si>
  <si>
    <t>fuego, pueden aplicarse las mismas consideraciones que en la nota 3 de la tabla 2.1.2.</t>
  </si>
  <si>
    <t xml:space="preserve">c) En el caso de espacios abiertos con zonas con muelles de carga, </t>
  </si>
  <si>
    <t xml:space="preserve">estacionamientos de vehículos, pequeños porches, movimientos habituales de </t>
  </si>
  <si>
    <t xml:space="preserve">materiales en tránsito situados a la salida de un edificio, así como otras actividades </t>
  </si>
  <si>
    <t xml:space="preserve">similares, si no fuera posible realizar la separación señalada en los epígrafes anteriores </t>
  </si>
  <si>
    <t xml:space="preserve">respecto a los edificios del establecimiento industrial considerado, se tomarán acciones </t>
  </si>
  <si>
    <t xml:space="preserve">para considerar el posible riesgo que puedan generar dichas actividades, debiendo en </t>
  </si>
  <si>
    <t xml:space="preserve">este caso las bocas de incendio equipadas, hidrantes o extintores que puedan ser </t>
  </si>
  <si>
    <t xml:space="preserve">requeridos según el anexo III (en el interior o exterior de los edificios), estar situados de </t>
  </si>
  <si>
    <t>forma que puedan actuar en caso de incendio en estas zonas.</t>
  </si>
  <si>
    <t>Nombre edificio</t>
  </si>
  <si>
    <t>Nombre sector</t>
  </si>
  <si>
    <t>Nivel de riesgo</t>
  </si>
  <si>
    <t>Superficie</t>
  </si>
  <si>
    <t>Superficie admisible</t>
  </si>
  <si>
    <t>Cumple</t>
  </si>
  <si>
    <t>Medio 5</t>
  </si>
  <si>
    <t>Situación elemento</t>
  </si>
  <si>
    <t>Techos y Paredes</t>
  </si>
  <si>
    <t>Suelos</t>
  </si>
  <si>
    <t>Resistencia entre Sectores</t>
  </si>
  <si>
    <t>Resistencia Exterior</t>
  </si>
  <si>
    <t>Personas</t>
  </si>
  <si>
    <t>Nº mínimo de salidas</t>
  </si>
  <si>
    <t>Longitud de recorridos de evacuación</t>
  </si>
  <si>
    <t>Estabilidad al fuego estructura</t>
  </si>
  <si>
    <t>Nivel de Riesgo</t>
  </si>
  <si>
    <t>Exige</t>
  </si>
  <si>
    <t>Nombre Edificio</t>
  </si>
  <si>
    <t>Superfice</t>
  </si>
  <si>
    <t>Exige Hidrantes Camiones</t>
  </si>
  <si>
    <t>Exige Hidrantes Directa</t>
  </si>
  <si>
    <t>Numero</t>
  </si>
  <si>
    <t>Tipo</t>
  </si>
  <si>
    <t>Maxima Superficie construida admisible para cada sector de incendio Tabla 2.1.1</t>
  </si>
  <si>
    <t>Nivel de riesgo intrínseco</t>
  </si>
  <si>
    <t>Tipo AV</t>
  </si>
  <si>
    <t>Tipo AH</t>
  </si>
  <si>
    <t xml:space="preserve">Tipo B </t>
  </si>
  <si>
    <t xml:space="preserve">Tipo C </t>
  </si>
  <si>
    <t>Medio 3.</t>
  </si>
  <si>
    <t xml:space="preserve">Nota 2 </t>
  </si>
  <si>
    <t>Bajo 1.</t>
  </si>
  <si>
    <t>SIN LÍMITE</t>
  </si>
  <si>
    <t>Tipo de recinto</t>
  </si>
  <si>
    <t>Nota 2: Si la fachada accesible del establecimiento industrial es igual o superior al 50 por ciento de su perímetro, las máximas superficies construidas admisibles, indicadas en la tabla, podrán multiplicarse por 1,25</t>
  </si>
  <si>
    <t>Bajo 2.</t>
  </si>
  <si>
    <t>Nota 3: Cuando se instalen sistemas fijos de extinción por rociadores automáticos que cubran la totalidad del sector, las máximas superficies construidas admisibles indicadas en la tabla podrán multiplicarse por 2. Como alternativa, en vez de rociadores, también se aceptará el uso de otros sistemas fijos de extinción</t>
  </si>
  <si>
    <t>Medio 4.</t>
  </si>
  <si>
    <t>Medio 5.</t>
  </si>
  <si>
    <t>Alto 6.</t>
  </si>
  <si>
    <t>NO ADMITIDO</t>
  </si>
  <si>
    <t>Alto 7.</t>
  </si>
  <si>
    <t>Alto 8.</t>
  </si>
  <si>
    <t>Nota 2 y 3</t>
  </si>
  <si>
    <t>Las notas 2 y 3 pueden aplicarse simultáneamente. De este modo, si coincidieran estas dos situaciones, el factor de incremento de la superficie máxima del sector de incendio sería 2,5</t>
  </si>
  <si>
    <t>Nota</t>
  </si>
  <si>
    <t>En configuraciones de tipo C, el sector de incendios puede tener cualquier superficie, siempre que todo el sector cuente con un sistema fijo de extinción automática y la distancia a otros establecimientos, así como a límites de parcelas con posibilidad de edificar en ellas, sea superior a 10 metros, libres de mercancías combustibles o elementos intermedios susceptibles de propagar el incendio.En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</si>
  <si>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Indice</t>
  </si>
  <si>
    <t>Configuracion</t>
  </si>
  <si>
    <t>Nri</t>
  </si>
  <si>
    <t>Rasante</t>
  </si>
  <si>
    <t>&lt; Fachada Accesible</t>
  </si>
  <si>
    <t>Admitido</t>
  </si>
  <si>
    <t>&gt; Altura de evacuación</t>
  </si>
  <si>
    <t>Factor</t>
  </si>
  <si>
    <t>AV</t>
  </si>
  <si>
    <t>Bajo 1</t>
  </si>
  <si>
    <t>A</t>
  </si>
  <si>
    <t>Factor fachada accesible &gt;50%</t>
  </si>
  <si>
    <t>Si NRI Tipo C y D &gt; 10m</t>
  </si>
  <si>
    <t>Medio 3</t>
  </si>
  <si>
    <t>N/A</t>
  </si>
  <si>
    <t>Instalación Extinción automática</t>
  </si>
  <si>
    <t>SIN LIMITE</t>
  </si>
  <si>
    <t>Medio 4</t>
  </si>
  <si>
    <t>Nota 2 - 3</t>
  </si>
  <si>
    <t>Si ambas condiciones</t>
  </si>
  <si>
    <t>NO/A</t>
  </si>
  <si>
    <t>N</t>
  </si>
  <si>
    <t>Alto 7</t>
  </si>
  <si>
    <t>Alto 8</t>
  </si>
  <si>
    <t>AH</t>
  </si>
  <si>
    <t>Nota 5</t>
  </si>
  <si>
    <t>Como excepción a lo indicado en la tabla, se podrán implantar sectores de riesgo intrínseco alto en edificios tipo AV y de riesgo intrínseco alto 8 en edificios tipo AH o B si se cumplen con los siguientes requisitos:</t>
  </si>
  <si>
    <t xml:space="preserve"> Nota 5 a) Estar destinados exclusivamente a almacenamiento, o bien, sin coexistir con actividades en el mismo sector que entrañen un aumento significativo de la probabilidad de inicio de un incendio.No podrán realizarse operaciones de carga de baterías (tales como carrerillas u otras), salvo que el sector disponga de sistema fijo de extinción automática y de sistema de detección y alarma de incendios con dispositivos tanto para la activación automática como manual (detectores y pulsadores manuales). En dicho caso, estas operaciones de carga deberán realizarse en un espacio separado al menos 2,5 metros de cualquier material combustible.</t>
  </si>
  <si>
    <t>Nota 5 b) En edificios tipo AV o AH la estructura, incluyendo los muros y cerramientos superiores (tales como cubiertas) delimitadores del sector de incendio, será independiente del resto del edificio de forma que un potencial incendio en el interior del sector no afecte al resto de la estructura del edificio. Alternativamente, en tipo AH podrá disponerse de estructura compartida, debiendo tener en todo caso cubierta independiente, siempre que se justifique técnicamente que el posible colapso de la estructura no afecte a los establecimientos colindantes, ni a la sectorización con estos, y además se disponga de un sistema fijo de extinción automática y de un sistema para el control de humos y de calor según el apartado 8.3 del anexo III.</t>
  </si>
  <si>
    <t>Nota 5 c) El sector no puede estar en planta bajo rasante, su altura de evacuación no debe ser superior a 15 metros y el establecimiento debe disponer de una fachada accesible de, al menos, 5 metros.</t>
  </si>
  <si>
    <t>Nota 5 d) Deberá disponer de, al menos, una boca de incendio equipada (BIE) si su superficie es superior a 25 m2 , ya sea colocada en su interior, o bien colocada en su exterior cerca de la entrada (en sectores pequeños), de forma que pueda alcanzar todo el interior.</t>
  </si>
  <si>
    <t>e) La máxima superficie del sector será de 100 m2, pudiendo ser mayor en los siguientes casos: i. La superficie podrá ser de hasta 300 m2 en tipo AV, 1.500 m2 en tipo AH y 3.000 m2 en tipo B si se dispone de todos los siguientes sistemas: sistema fijo de extinción automática, sistema de detección y alarma de incendios con dispositivos tanto para la activación automática como manual (detectores y pulsadores manuales) y sistema para el control de humos y de calor según el apartado 8.3 del anexo III.</t>
  </si>
  <si>
    <t>ii. La superficie podrá ser de hasta 5.000 m2 en tipo AH (riesgo alto 6, 7 y 8) y 6.000 m2 en tipo B (riesgo alto 8) si, además de todo lo anterior (incluyendo todo lo indicado en el párrafo anterior y también todos los demás requisitos de la presente nota), el sistema fijo de extinción automática está diseñado para la respuesta rápida y supresión temprana mediante rociadores ESFR, y debiendo el sistema de detección y alarma estar conectado a una central receptora de gestión remota para la monitorización continua y verificación de las alarmas de incendio. Además, el sector deberá estar situado en la planta de salida del edificio, contando con dos o más salidas directas al exterior y con al menos dos zonas de fachada accesible que representen como mínimo el 30 % del perímetro de la planta del sector, situadas preferentemente en fachadas opuestas, o como mínimo, perpendiculares en el caso de naves situadas en esquina. El edificio deberá ser de una sola planta en la superficie ocupada por el sector (pudiendo existir pasos elevados y entreplantas que cumplan los requisitos del apartado 2 del anexo IV, pero no sótanos ni plantas superiores) y debiendo realizarse los almacenamientos de materiales combustibles en estanterías, separadas entre ellas por pasillos de al menos 3 metros de ancho libres de mercancías combustibles o elementos intermedios susceptibles de propagar el incendio.(Estos valores no podrán aumentarse por aplicación del resto de notas de la presente tabla).</t>
  </si>
  <si>
    <t xml:space="preserve"> </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</si>
  <si>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EI 60, 90 o 120 en áreas de riesgo bajo, medio o alto respectivamente (o 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(EI o REI) y las dimensiones indicadas anteriormente. Además, en el caso de tener la fachada una altura superior a la indicada, no podrá tener zonas cuya resistencia al fuego sea inferior a la EI o 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</si>
  <si>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altura.b) En otros casos distintos, los materiales se deberán colocar asegurando que se limite la propagación del incendio y se facilite la extinción, de forma que se consiga un resultado equivalente a lo previsto en la letra a). Esta particularidad deberá estar justificada.</t>
  </si>
  <si>
    <t>D</t>
  </si>
  <si>
    <t>Bajo Rasante</t>
  </si>
  <si>
    <t>Resistencia Al fuego de los elementos constructivos que delimitan sectores de incendio Tabla 2.1.2</t>
  </si>
  <si>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V</t>
    </r>
  </si>
  <si>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H</t>
    </r>
  </si>
  <si>
    <t>Tipo B</t>
  </si>
  <si>
    <t>Tipo C</t>
  </si>
  <si>
    <r>
      <rPr>
        <b/>
        <sz val="8"/>
        <color rgb="FF000000"/>
        <rFont val="Arial"/>
        <family val="2"/>
      </rPr>
      <t>Nivel</t>
    </r>
    <r>
      <rPr>
        <b/>
        <sz val="8"/>
        <color rgb="FF000000"/>
        <rFont val="Arial"/>
        <family val="2"/>
      </rPr>
      <t xml:space="preserve"> </t>
    </r>
    <r>
      <rPr>
        <b/>
        <sz val="8"/>
        <color rgb="FF000000"/>
        <rFont val="Arial"/>
        <family val="2"/>
      </rPr>
      <t xml:space="preserve">de
</t>
    </r>
    <r>
      <rPr>
        <b/>
        <sz val="8"/>
        <color rgb="FF000000"/>
        <rFont val="Arial"/>
        <family val="2"/>
      </rPr>
      <t>riesgo</t>
    </r>
    <r>
      <rPr>
        <b/>
        <sz val="8"/>
        <color rgb="FF000000"/>
        <rFont val="Arial"/>
        <family val="2"/>
      </rPr>
      <t xml:space="preserve"> </t>
    </r>
    <r>
      <rPr>
        <b/>
        <sz val="8"/>
        <color rgb="FF000000"/>
        <rFont val="Arial"/>
        <family val="2"/>
      </rPr>
      <t>intrínseco</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</si>
  <si>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</si>
  <si>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</si>
  <si>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</si>
  <si>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</si>
  <si>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</si>
  <si>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</si>
  <si>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</si>
  <si>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</si>
  <si>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t>Riesgo bajo.</t>
  </si>
  <si>
    <t>REI 120</t>
  </si>
  <si>
    <r>
      <rPr>
        <sz val="8"/>
        <color rgb="FF000000"/>
        <rFont val="Times New Roman"/>
        <family val="1"/>
      </rPr>
      <t>Riesgo</t>
    </r>
    <r>
      <rPr>
        <sz val="8"/>
        <color rgb="FF000000"/>
        <rFont val="Times New Roman"/>
        <family val="1"/>
      </rPr>
      <t xml:space="preserve"> </t>
    </r>
    <r>
      <rPr>
        <sz val="8"/>
        <color rgb="FF000000"/>
        <rFont val="Times New Roman"/>
        <family val="1"/>
      </rPr>
      <t>medio.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</si>
  <si>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</si>
  <si>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Riesgo alto.</t>
  </si>
  <si>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</si>
  <si>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</si>
  <si>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</si>
  <si>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Resistencia</t>
  </si>
  <si>
    <t>Puertas Sin Vestibulo</t>
  </si>
  <si>
    <t>Puertas Con Vestibulos</t>
  </si>
  <si>
    <t>Puertas Grandes Sin Vestibulo</t>
  </si>
  <si>
    <t>REI120</t>
  </si>
  <si>
    <t>REI 7.5</t>
  </si>
  <si>
    <t>Nota 5: Ascensores</t>
  </si>
  <si>
    <t>Resistecia al fuego elementos inter sectoriales sobre rasante con cubierta ligera, sistema fijo de extinción y sistema de control de humos y de calor Tabla 2.1.3</t>
  </si>
  <si>
    <t>Los ascensores que comuniquen sectores de incendio diferentes estarán compartimentados. Los ascensores dispondrán en cada acceso, o bien de puertas E 30 o bien de un vestíbulo de independencia con una puerta REI2 30-C5. Cuando, considerando dos sectores, el más bajo sea un sector de riesgo bajo nivel 1, o bien si no lo es, se opte por disponer en el más bajo tanto una puerta REI2 30-C5 de acceso al vestíbulo de independencia del ascensor, como una puerta E 30 de acceso al ascensor, en el sector más alto no se precisa ninguna de dichas medidas</t>
  </si>
  <si>
    <t>Configuraciones tipo D</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</si>
  <si>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REI 60, 90 o 120 en áreas de riesgo bajo, medio o alto respectivamente (o RREI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(REI o RREI) y las dimensiones indicadas anteriormente. Además, en el caso de tener la fachada una altura superior a la indicada, no podrá tener zonas cuya resistencia al fuego sea inferior a la REI o RREI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</si>
  <si>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</si>
  <si>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Espacios Ocultos</t>
  </si>
  <si>
    <t>2.1 La compartimentación contra incendios de los sectores debe tener continuidad en los espacios ocultos, tales como patinillos, cámaras, falsos techos, suelos elevados o galerías subterráneas (canalizaciones o conductos) de todo tipo de instalaciones, entre otros, salvo cuando éstos estén compartimentados respecto de los primeros al menos con la misma resistencia al fuego, pudiendo reducirse ésta a la mitad en los registros para mantenimiento y en los sellados de orificios de paso de canalizaciones de líquidos no inflamables ni combustibles.</t>
  </si>
  <si>
    <t>a) Disponer un elemento que, en caso de incendio, obture automáticamente la sección de paso y garantice en dicho punto una resistencia al fuego al menos igual a la del elemento atravesado, tal como una compuerta cortafuegos automática REI t (i↔o) siendo t el tiempo de resistencia al fuego requerida al elemento de compartimentación atravesado, o bien, un dispositivo intumescente de obturación, como por ejemplo, en caso de tuberías que atraviesen un sector de incendios y que estén hechas de material combustible o fusible, en donde el sistema de sellado debe asegurar que el espacio interno que deja la tubería al fundirse o arder también queda sellado.</t>
  </si>
  <si>
    <t>b) Elementos pasantes que aporten una resistencia al menos igual a la del elemento atravesado. Por ejemplo, conductos de ventilación REI t (i↔o) siendo t el tiempo de resistencia al fuego requerida al elemento de compartimentación atravesado. De este modo, los sistemas que incluyen conductos, tanto verticales como horizontales, que atraviesen elementos de compartimentación y cuya función no permita el uso de compuertas (extracción de humos, ventilación de vías de evacuación, entre otros), deben ser resistentes al fuego o estar adecuadamente protegidos en todo su recorrido con el mismo grado de resistencia al fuego que los elementos atravesados.En el caso de patinillos, estos se pueden considerar como suficientemente estancos (y por tanto a cuyas bajantes no les sería exigible la clasificación de reacción al fuego) si estos están delimitados por un cerramiento que, al menos, tenga la resistencia al fuego exigida a los elementos (sectores) que atraviesa, incluso en los puntos en los que dicho cerramiento es atravesado por instalaciones cuya sección de paso exceda de 50 cm2, y cuyos registros, caso de existir, tengan al menos el 50 % de dicha resistencia al fuego.Respecto a los registros resistentes al fuego que puedan existir en patinillos o conductos de instalaciones, no es obligatorio que estos dispongan de un sistema de cierre automático, dado que estos deben permanecer siempre cerrados y su uso se limita únicamente a tareas de mantenimiento.</t>
  </si>
  <si>
    <t>Clases de reacción al fuego de los elementos constructivos Tabla 2.1.4</t>
  </si>
  <si>
    <r>
      <rPr>
        <sz val="11"/>
        <color theme="1"/>
        <rFont val="Calibri"/>
        <family val="2"/>
      </rPr>
      <t xml:space="preserve">Revestimientos </t>
    </r>
    <r>
      <rPr>
        <b/>
        <sz val="5"/>
        <color rgb="FF000000"/>
        <rFont val="Calibri"/>
        <family val="2"/>
      </rPr>
      <t>(1)</t>
    </r>
  </si>
  <si>
    <r>
      <rPr>
        <sz val="11"/>
        <color theme="1"/>
        <rFont val="Calibri"/>
        <family val="2"/>
      </rPr>
      <t xml:space="preserve">De techos y paredes </t>
    </r>
    <r>
      <rPr>
        <b/>
        <sz val="5"/>
        <color rgb="FF000000"/>
        <rFont val="Calibri"/>
        <family val="2"/>
      </rPr>
      <t>(2) (3) (7)</t>
    </r>
  </si>
  <si>
    <r>
      <rPr>
        <sz val="11"/>
        <color theme="1"/>
        <rFont val="Calibri"/>
        <family val="2"/>
      </rPr>
      <t xml:space="preserve">De suelos </t>
    </r>
    <r>
      <rPr>
        <b/>
        <sz val="5"/>
        <color rgb="FF000000"/>
        <rFont val="Calibri"/>
        <family val="2"/>
      </rPr>
      <t>(2)</t>
    </r>
  </si>
  <si>
    <r>
      <rPr>
        <sz val="8"/>
        <color rgb="FF000000"/>
        <rFont val="Calibri"/>
        <family val="2"/>
      </rPr>
      <t xml:space="preserve">Zonas ocupables, en general </t>
    </r>
    <r>
      <rPr>
        <sz val="5"/>
        <color rgb="FF000000"/>
        <rFont val="Calibri"/>
        <family val="2"/>
      </rPr>
      <t>(4)</t>
    </r>
    <r>
      <rPr>
        <sz val="8"/>
        <color rgb="FF000000"/>
        <rFont val="Calibri"/>
        <family val="2"/>
      </rPr>
      <t>.</t>
    </r>
  </si>
  <si>
    <r>
      <rPr>
        <sz val="11"/>
        <color theme="1"/>
        <rFont val="Calibri"/>
        <family val="2"/>
      </rPr>
      <t>C</t>
    </r>
    <r>
      <rPr>
        <sz val="6"/>
        <color rgb="FF000000"/>
        <rFont val="Calibri"/>
        <family val="2"/>
      </rPr>
      <t>FL</t>
    </r>
    <r>
      <rPr>
        <sz val="8"/>
        <color rgb="FF000000"/>
        <rFont val="Calibri"/>
        <family val="2"/>
      </rPr>
      <t>-s1</t>
    </r>
  </si>
  <si>
    <t>Pasillos y escaleras protegidos.</t>
  </si>
  <si>
    <t>B-s1,d0</t>
  </si>
  <si>
    <r>
      <rPr>
        <sz val="11"/>
        <color theme="1"/>
        <rFont val="Calibri"/>
        <family val="2"/>
      </rPr>
      <t>C</t>
    </r>
    <r>
      <rPr>
        <sz val="6"/>
        <color rgb="FF000000"/>
        <rFont val="Calibri"/>
        <family val="2"/>
      </rPr>
      <t>FL</t>
    </r>
    <r>
      <rPr>
        <sz val="8"/>
        <color rgb="FF000000"/>
        <rFont val="Calibri"/>
        <family val="2"/>
      </rPr>
      <t>-s1</t>
    </r>
  </si>
  <si>
    <r>
      <rPr>
        <sz val="11"/>
        <color theme="1"/>
        <rFont val="Calibri"/>
        <family val="2"/>
      </rPr>
      <t xml:space="preserve">Aparcamientos y sectores de nivel de riesgo  intrínseco alto </t>
    </r>
    <r>
      <rPr>
        <sz val="5"/>
        <color rgb="FF000000"/>
        <rFont val="Calibri"/>
        <family val="2"/>
      </rPr>
      <t>(5)</t>
    </r>
    <r>
      <rPr>
        <sz val="8"/>
        <color rgb="FF000000"/>
        <rFont val="Calibri"/>
        <family val="2"/>
      </rPr>
      <t>.</t>
    </r>
  </si>
  <si>
    <r>
      <rPr>
        <sz val="11"/>
        <color theme="1"/>
        <rFont val="Calibri"/>
        <family val="2"/>
      </rPr>
      <t>B</t>
    </r>
    <r>
      <rPr>
        <sz val="6"/>
        <color rgb="FF000000"/>
        <rFont val="Calibri"/>
        <family val="2"/>
      </rPr>
      <t>FL</t>
    </r>
    <r>
      <rPr>
        <sz val="8"/>
        <color rgb="FF000000"/>
        <rFont val="Calibri"/>
        <family val="2"/>
      </rPr>
      <t>-s1</t>
    </r>
  </si>
  <si>
    <t>Espacios ocultos  no estancos, tales  como patinillos, falsos  techos y suelos elevados, entre  otros,  o que siendo estancos, contengan instalaciones susceptibles de iniciar o de propagar un incendio.</t>
  </si>
  <si>
    <t>B-s3,d0</t>
  </si>
  <si>
    <r>
      <rPr>
        <sz val="11"/>
        <color theme="1"/>
        <rFont val="Calibri"/>
        <family val="2"/>
      </rPr>
      <t>B</t>
    </r>
    <r>
      <rPr>
        <sz val="6"/>
        <color rgb="FF000000"/>
        <rFont val="Calibri"/>
        <family val="2"/>
      </rPr>
      <t>FL</t>
    </r>
    <r>
      <rPr>
        <sz val="8"/>
        <color rgb="FF000000"/>
        <rFont val="Calibri"/>
        <family val="2"/>
      </rPr>
      <t xml:space="preserve">-s2 </t>
    </r>
    <r>
      <rPr>
        <sz val="5"/>
        <color rgb="FF000000"/>
        <rFont val="Calibri"/>
        <family val="2"/>
      </rPr>
      <t>(6)</t>
    </r>
  </si>
  <si>
    <t>Nota 1:</t>
  </si>
  <si>
    <t>Siempre que superen el 5 % de las superficies totales del conjunto de las paredes, del conjunto de los techos o del conjunto de los suelos del recinto considerado.</t>
  </si>
  <si>
    <t>Nota 2:</t>
  </si>
  <si>
    <t>Incluye las tuberías y conductos que transcurren por las zonas que se indican sin recubrimiento resistente al fuego. Cuando se trate de tuberías con aislamiento térmico lineal, la clase de reacción al fuego será la que se indica, pero incorporando el subíndice L.</t>
  </si>
  <si>
    <t xml:space="preserve">Nota 3: </t>
  </si>
  <si>
    <t>Incluye a aquellos materiales que constituyan una capa contenida en el interior del techo o pared y que no esté protegida por una capa que sea EI 30 como mínimo. (Esto aplica a los elementos multicapa que se conforman en la propia obra superponiendo un material, o capa, a otro. Para el caso de los productos de construcción multicapa que se ensayan y fabrican como tales, también les aplica el mismo requisito, con la consideración de que dichos productos ya disponen de la clasificación de su reacción al fuego como producto integrado, por lo que será esta clasificación la que hay que tener en cuenta).</t>
  </si>
  <si>
    <t>Nota 4:</t>
  </si>
  <si>
    <t>Incluye, tanto las de permanencia de personas, como las de circulación que no sean protegidas.</t>
  </si>
  <si>
    <t>Nota 5:</t>
  </si>
  <si>
    <t>Notar que el artículo 4 del reglamento, «Compatibilidad reglamentaria», dispone que, para aparcamientos, a partir de una cierta superficie se aplicarán los requisitos técnicos del CTE DB-SI.</t>
  </si>
  <si>
    <t xml:space="preserve">Nota 6: </t>
  </si>
  <si>
    <t>Se refiere a la parte inferior de la cavidad. Por ejemplo, en la cámara de los falsos techos se refiere al material situado en la cara superior de la membrana. En espacios con clara configuración vertical (por ejemplo, patinillos) así como cuando el falso techo esté constituido por una celosía, retícula o entramado abierto, con una función acústica o decorativa, o similar, esta condición no es aplicable.</t>
  </si>
  <si>
    <t>Nota 7:</t>
  </si>
  <si>
    <t>A los lucernarios en general y a los aireadores de extracción natural de humo y calor que se instalen en las cubiertas, se les aplicarán los mismos requisitos que a los techos y paredes. No obstante, los lucernarios de grandes dimensiones en cubierta serán siempre de clase B-s1,d0 o más favorable. A los efectos de lo dispuesto aquí, se entenderán como lucernarios a aquellos elementos aislados o integrados en la cubierta, formados por materiales transparentes o traslúcidos que permiten la entrada de luz en el edificio. Se considerarán lucernarios de grandes dimensiones a aquellos lucernarios que tengan más de 10 metros de longitud, o bien, cuando haya varios lucernarios agrupados que tengan una separación entre ellos inferior a 2 metros y ocupen más de 10 metros de longitud.</t>
  </si>
  <si>
    <t>Los productos situados en el interior de falsos techos o suelos elevados, tanto los utilizados para aislamiento térmico y para acondicionamiento acústico como los que constituyan o revistan conductos de aire acondicionado o de ventilación, o similar, deben ser de clase B-s3,d0 o más favorable.Para los productos incluidos en paredes y cerramientos que constituyan una capa contenida en un suelo, pared o techo, se aplicará lo dispuesto en la nota 3 de la tabla anterior.</t>
  </si>
  <si>
    <t>Los cables situados en el interior de falsos techos o suelos elevados serán, al menos, de clase Cca-s1b,d1,a1. En el caso de galerías subterráneas, los cables situados en ellas también deberán cumplir con estas prestaciones, salvo que dichas galerías estén compartimentadas.El resto de cables deberán cumplir con las prestaciones que para ellos se establezca en la reglamentación específica que les sea de aplicación.</t>
  </si>
  <si>
    <t>Los requisitos de reacción al fuego de otros componentes de las instalaciones eléctricas (sistemas de conducción de cables tales como tubos, bandejas, canales protectoras o conductos cerrados de sección no circular) se regulan en su reglamentación específica.</t>
  </si>
  <si>
    <t>Resistencia al fuego de los elementos separadores con otros establecimientos 2.2.1</t>
  </si>
  <si>
    <t>Resitencia</t>
  </si>
  <si>
    <t>REI 240</t>
  </si>
  <si>
    <t>Distancia</t>
  </si>
  <si>
    <t>0 &lt; D ≤  3</t>
  </si>
  <si>
    <t>Tablas de imágenes</t>
  </si>
  <si>
    <t>Aquí va todo lo subrayado</t>
  </si>
  <si>
    <t>Las instalaciones de los servicios eléctricos (incluyendo generación propia, distribución, toma, cesión y consumo de energía eléctrica), las instalaciones de energía térmica procedente de combustibles sólidos, líquidos o gaseosos (incluyendo almacenamiento y distribución del combustible, aparatos o equipos de consumo y acondicionamiento térmico), las instalaciones frigoríficas, las instalaciones de empleo de energía mecánica (incluyendo generación, almacenamiento, distribución y aparatos o equipos de consumo de aire comprimido) y las instalaciones de movimiento de materiales, manutención y elevadores de los establecimientos industriales cumplirán los requisitos establecidos por los reglamentos vigentes que específicamente las afectan.</t>
  </si>
  <si>
    <t>En el caso de que los cables eléctricos alimenten a equipos o circuitos de servicios no autónomos, que deban permanecer en funcionamiento durante un incendio, estos deberán estar protegidos para mantener la corriente eléctrica durante, al menos, el tiempo para el que esté previsto que deba funcionar el equipo. Esta protección se puede conseguir mediante diferentes soluciones técnicas, tales como el uso de conductos o elementos constructivos resistentes al fuego, o bien, mediante el uso de cables con resistencia intrínseca frente al fuego.Para este último caso (cables no protegidos que deban tener resistencia intrínseca frente al fuego), se pueden utilizar cables ensayados conforme a la norma UNE-EN IEC 60331-1 o UNE-EN 50200, tomando como referencia aquellos que sean de, al menos, clase P90 o PH90, o bien, de otra clase en el caso de que se justifique que se les requiere un tiempo de funcionamiento distinto, y salvo que la legislación específica indique otra cosa.Se deberá prestar especial atención a las condiciones y sistemas de instalación a emplear, para que en caso de incendio y durante el tiempo que el cable deba asegurar la continuidad del suministro, ofrezca un soporte fiable y seguro.</t>
  </si>
  <si>
    <t>Reacción al fuego en fachadas</t>
  </si>
  <si>
    <t>1.5 </t>
  </si>
  <si>
    <t>Altura Fachada</t>
  </si>
  <si>
    <t>Reacción</t>
  </si>
  <si>
    <t>La clase de reacción al fuego de los sistemas constructivos de fachada que  ocupen más del 10 %  sera la definida en la tabla para estas alturas de fachada</t>
  </si>
  <si>
    <t>&lt;=10</t>
  </si>
  <si>
    <t xml:space="preserve">D-s3,d0 </t>
  </si>
  <si>
    <t>Dicha clasificación debe considerar la condición de uso final del sistema constructivo incluyendo aquellos materiales que constituyan capas contenidas en el interior de la solución de fachada y que no estén protegidas por una capa que sea EI 30 como mínimo</t>
  </si>
  <si>
    <t>&lt;=18</t>
  </si>
  <si>
    <t>C-s3,d0</t>
  </si>
  <si>
    <t>&gt;18</t>
  </si>
  <si>
    <t>Debe limitarse el desarrollo vertical de las cámaras ventiladas de fachada en continuidad con los forjados resistentes al fuego que separan sectores de incendio. La inclusión de barreras E 30 se puede considerar un procedimiento válido para limitar dicho desarrollo vertical.</t>
  </si>
  <si>
    <t>Camaras ventiladas</t>
  </si>
  <si>
    <t>En aquellas fachadas de altura igual o inferior a 18 metros cuyo arranque inferior sea accesible al público desde la rasante exterior o desde una cubierta, la clase de reacción al fuego, tanto de los sistemas constructivos mencionados en el apartado 1.5 como de aquellos situados en el interior de cámaras ventiladas en su caso, debe ser al menos B-s3,d0 hasta una altura de 3,5 metros como mínimo.</t>
  </si>
  <si>
    <t>&lt;=28</t>
  </si>
  <si>
    <t>&gt;28</t>
  </si>
  <si>
    <t>A2-s3,d0</t>
  </si>
  <si>
    <t>Longitud del recorrido de evacución según el número de salidas y el nivel de riesgo intrínseco del sector de incendio</t>
  </si>
  <si>
    <t>Una salida</t>
  </si>
  <si>
    <t>Dos o más salidas alternativas</t>
  </si>
  <si>
    <t>Nota 4</t>
  </si>
  <si>
    <t xml:space="preserve">&lt;= Distancia a la salida </t>
  </si>
  <si>
    <t>≤ Distancia del recorrido sin alternativa</t>
  </si>
  <si>
    <t>≤ Distancia a la salida más próxima</t>
  </si>
  <si>
    <t>Extincion Auto</t>
  </si>
  <si>
    <t>Nota 4 a: En sectores de incendio protegidos con un sistema fijo de extinción automática basada en agua, u otros tipos de sistemas fijos de extinción automática que sean compatibles para poder funcionar durante la fase de evacuación, los recorridos podrán incrementarse un 25 %.</t>
  </si>
  <si>
    <t>Control Humos</t>
  </si>
  <si>
    <t>2 salidas + extincion</t>
  </si>
  <si>
    <t>Max 90m</t>
  </si>
  <si>
    <t>Nota 4 b: En sectores de incendio dotados con un sistema para el control de humos y de calor según el apartado 8.3 del anexo III, diseñado con los objetivos de protección de los medios de evacuación y de facilitación de las operaciones de lucha contra incendios, los recorridos podrán incrementarse un 25 %</t>
  </si>
  <si>
    <t>Nota 4 c: En sectores situados en la planta de salida del edificio, con dos o más salidas directas al exterior, con altura de techo igual o mayor a 8 metros y protegidos por un sistema fijo de extinción automática compatible para poder funcionar durante la fase de evacuación: Los recorridos podrán incrementarse hasta un 100 % respecto a los valores indicados en la tabla, sin que puedan superar un máximo de 90 metros. En el caso de que el sector tenga varias plantas o entreplantas, solo se podrá aplicar lo anterior a la evacuación procedente de orígenes de evacuación situados en la planta de salida del edificio</t>
  </si>
  <si>
    <t>Para sectores clasificados como riesgo bajo nivel 1 en donde se justifique que los materiales existentes (incluyendo tanto el contenido almacenado como los productos de construcción y los revestimientos) sean incombustibles o de muy baja combustibilidad y emisión de humo (de clase A1 o A2, o de un comportamiento equivalente) en un 95 % de masa, podrá aumentarse la distancia máxima de los recorridos de evacuación hasta ser esta de 100 metros en casos de una salida; o bien, de hasta 150 metros hasta la salida más próxima en casos de dos o más salidas y con una distancia del recorrido sin alternativa de máximo 100 metros. (Cuando aplique esta nota no se podrán aplicar los coeficientes de la nota 4).</t>
  </si>
  <si>
    <t>&gt; Superficie</t>
  </si>
  <si>
    <t>&gt; Ocupacion</t>
  </si>
  <si>
    <t>Salidas</t>
  </si>
  <si>
    <t>Si el número de ocupantes del establecimiento industrial (P, calculado según el apartado 2) es superior a 50 personas, deberá contar con una salida independiente del resto del edificio</t>
  </si>
  <si>
    <t>3.1.3 Otras consideraciones:</t>
  </si>
  <si>
    <t>a) La salida de planta desde un sector a otro sector de incendio alternativo no precisará de vestíbulo de independencia siempre y cuando el sector de origen tenga una ocupación (P) de hasta 25 personas (en su caso, incluyendo también a aquellos ocupantes provenientes de otras zonas que deban utilizar el paso por dicho sector para alcanzar la salida), o bien, cuando la altura libre de planta en ambos sectores sea igual o mayor de 5 metros.</t>
  </si>
  <si>
    <t>b) En las zonas de los sectores cuya actividad impide la presencia de personal (por ejemplo, en almacenes operados automáticamente), los requisitos de evacuación serán de aplicación solamente a las zonas donde pueda existir presencia habitual de personas. Esta particularidad deberá estar justificada</t>
  </si>
  <si>
    <t>c) Los requisitos de esta sección no son aplicables a las condiciones de evacuación de zonas de uso exclusivo por personal especializado en mantenimiento, reparaciones, controles o actividades similares, cuyo acceso y evacuación son particulares, como pueden ser un foso de ascensor, una galería de instalaciones, una cubierta de uso restringido, entre otros, ni a los elementos destinados a dicho personal, tales como escalas o accesos. La regulación de las condiciones de evacuación de dichas zonas y elementos corresponde a la reglamentación de seguridad en el trabajo o bien a la específica de las instalaciones y equipos de que se trate.</t>
  </si>
  <si>
    <t>Limites Doble casuistica retroalimentada</t>
  </si>
  <si>
    <t>Cual es tu max reccorrido de evacuacion</t>
  </si>
  <si>
    <t>Y salidas</t>
  </si>
  <si>
    <t>y interfaz</t>
  </si>
  <si>
    <t>Si no cumple ofrecer factores</t>
  </si>
  <si>
    <t>SI no cumple pop up con la nota 4</t>
  </si>
  <si>
    <t>Elemento</t>
  </si>
  <si>
    <t>Anchura</t>
  </si>
  <si>
    <t>Altura</t>
  </si>
  <si>
    <t>Ocupacion</t>
  </si>
  <si>
    <t>Protegidas</t>
  </si>
  <si>
    <t>Intevalo (m)</t>
  </si>
  <si>
    <t>Pasillo</t>
  </si>
  <si>
    <t>NO APLICA</t>
  </si>
  <si>
    <t>Puerta</t>
  </si>
  <si>
    <t>Escaleras Descendentes</t>
  </si>
  <si>
    <t>Escaleras Ascendentes</t>
  </si>
  <si>
    <t>Ventilación</t>
  </si>
  <si>
    <t>Protección de escaleras</t>
  </si>
  <si>
    <t>Las escaleras que se prevean para evacuación descendente serán protegidas cuando superen la altura de evacuación de 14 metros</t>
  </si>
  <si>
    <t>Las separaciones de 5 metros de anchura citadas en los apartados 1.5 y 1.6 de la sección 1, deben poder servir de caminos de emergencia para la evacuación.Además, en configuraciones tipo D que tengan zonas cubiertas, dichas zonas deberán cumplir también con los requisitos de evacuación que se piden a los edificios en el apartado 3 de la presente sección que les sean aplicables, debiendo disponer de longitudes equivalentes a las de los recorridos de evacuación de la tabla 2.3.1, aplicándose estas desde cualquier punto interior cubierto (origen de evacuación) hasta el lugar de salida de la zona cubierta</t>
  </si>
  <si>
    <t>Las escaleras para evacuación ascendente serán protegidas cuando salven alturas de evacuación superiores a 1,50 metros y estén previstas para más de 25 personas, o bien, salven alturas de evacuación superiores a 2,8 metros</t>
  </si>
  <si>
    <t>Protección de pasillos</t>
  </si>
  <si>
    <t>a) La ventilación para la protección frente al humo de los pasillos protegidos, cuando esta sea prevista mediante sistemas de presión diferencial, incluirá puntos de impulsión de aire al menos cada 10 metros de longitud de pasillo.</t>
  </si>
  <si>
    <t>b) Excepcionalmente, los pasillos protegidos cuyos accesos sean siempre desde plantas superiores, podrán disponer de un número de accesos superior a dos.</t>
  </si>
  <si>
    <t>Altura mínima libre de gálibo</t>
  </si>
  <si>
    <t>Radio interior carril Rodadura</t>
  </si>
  <si>
    <t>Radio Exterior Carril Rodadura</t>
  </si>
  <si>
    <t>Anchura libre circulación</t>
  </si>
  <si>
    <t>Si conviven usos indutriales y no industriales</t>
  </si>
  <si>
    <t>Y la mayor parte de la superficie es no industrial, se rigen por codigo tecnico</t>
  </si>
  <si>
    <t xml:space="preserve">C </t>
  </si>
  <si>
    <t>Edificios industriales</t>
  </si>
  <si>
    <t>Variables</t>
  </si>
  <si>
    <t>Altura evacuación descendente</t>
  </si>
  <si>
    <t>Anchura mínima libre</t>
  </si>
  <si>
    <t>Altura libre</t>
  </si>
  <si>
    <t>Separación máxima hasta la fachada</t>
  </si>
  <si>
    <t>Distancia acceso - zona</t>
  </si>
  <si>
    <t>Pendiente maxima %</t>
  </si>
  <si>
    <t>Resistencia punzonamientos sobre 20 cm  Ø</t>
  </si>
  <si>
    <t>Norma UNE_EN 124 en caso de irregularidad</t>
  </si>
  <si>
    <t>Distancia a columna seca</t>
  </si>
  <si>
    <t>Maniobra salida vehiculo radio</t>
  </si>
  <si>
    <t>Maniobra salida vehiculo ancho</t>
  </si>
  <si>
    <t>Maniobra salida vehiculo alto</t>
  </si>
  <si>
    <t>Fachadas</t>
  </si>
  <si>
    <t>Dimensiones fachada</t>
  </si>
  <si>
    <t>Fachada accesible</t>
  </si>
  <si>
    <t>Altua alfeizar maximo</t>
  </si>
  <si>
    <t>Horizontal</t>
  </si>
  <si>
    <t>Vertical</t>
  </si>
  <si>
    <t>Distancia entre ejes de huecos maxima</t>
  </si>
  <si>
    <t>1 acceso peaotanl altura</t>
  </si>
  <si>
    <t>Elementos de seguridad si altura menor</t>
  </si>
  <si>
    <t>Distancia entre paso peatonal y via de acceso</t>
  </si>
  <si>
    <t>Anchura minima de paso</t>
  </si>
  <si>
    <t xml:space="preserve">2.5 En los casos de establecimientos industriales donde, por su actividad específica </t>
  </si>
  <si>
    <t xml:space="preserve">o por necesidades constructivas, no sea posible la existencia de fachadas accesibles </t>
  </si>
  <si>
    <r>
      <rPr>
        <sz val="11"/>
        <color theme="1"/>
        <rFont val="Calibri"/>
        <family val="2"/>
      </rPr>
      <t xml:space="preserve">En el caso de </t>
    </r>
    <r>
      <rPr>
        <b/>
        <sz val="11"/>
        <color theme="1"/>
        <rFont val="Calibri"/>
        <family val="2"/>
      </rPr>
      <t>edificios pequeños</t>
    </r>
    <r>
      <rPr>
        <sz val="11"/>
        <color theme="1"/>
        <rFont val="Calibri"/>
        <family val="2"/>
      </rPr>
      <t xml:space="preserve"> (inferiores a 500 m2</t>
    </r>
  </si>
  <si>
    <t xml:space="preserve">que cumplan total o parcialmente las condiciones del apartado 2.1 y 2.2, se deberán </t>
  </si>
  <si>
    <t xml:space="preserve"> de superficie ocupada en </t>
  </si>
  <si>
    <t xml:space="preserve">aplicar soluciones análogas que consigan los mismos objetivos, tales como la existencia </t>
  </si>
  <si>
    <t xml:space="preserve">planta) o con baja densidad de carga de fuego (sectores de riesgo bajo), se deberán </t>
  </si>
  <si>
    <t xml:space="preserve">de vías compartimentadas con elementos EI 120 y puertas EI2 60-C5 que permitan el </t>
  </si>
  <si>
    <t xml:space="preserve">evaluar las características de estos y las necesidades específicas de intervención en </t>
  </si>
  <si>
    <t xml:space="preserve">acceso al personal del SEIS y que dispongan de protección frente al humo mediante </t>
  </si>
  <si>
    <t xml:space="preserve">situaciones de incendio, y en su caso, se podrá disminuir el porcentaje de longitud de </t>
  </si>
  <si>
    <t xml:space="preserve">alguna de las opciones que se establecen en el CTE DB-SI para la protección de las </t>
  </si>
  <si>
    <t>fachada accesible. Esta particularidad deberá estar justificada</t>
  </si>
  <si>
    <t xml:space="preserve">escaleras y pasillos protegidos, o bien, mediante un sistema para el control de humos y </t>
  </si>
  <si>
    <t>de calor. Esta particularidad deberá estar justificada.</t>
  </si>
  <si>
    <t xml:space="preserve">2.6 En el caso de áreas de incendio en espacios abiertos (configuración tipo D), las </t>
  </si>
  <si>
    <r>
      <rPr>
        <sz val="11"/>
        <color theme="1"/>
        <rFont val="Calibri"/>
        <family val="2"/>
      </rPr>
      <t xml:space="preserve">En el caso de </t>
    </r>
    <r>
      <rPr>
        <b/>
        <sz val="11"/>
        <color theme="1"/>
        <rFont val="Calibri"/>
        <family val="2"/>
      </rPr>
      <t>edificios especialmente grandes</t>
    </r>
    <r>
      <rPr>
        <sz val="11"/>
        <color theme="1"/>
        <rFont val="Calibri"/>
        <family val="2"/>
      </rPr>
      <t xml:space="preserve"> (superiores a 10.000 m2 de superficie </t>
    </r>
  </si>
  <si>
    <t xml:space="preserve">características y distribución de dichas áreas y sus accesos deben diseñarse con el </t>
  </si>
  <si>
    <t xml:space="preserve">ocupada en planta), o con diseños complejos (por su forma, distribución u otros </t>
  </si>
  <si>
    <t xml:space="preserve">objetivo de permitir una intervención ágil y segura del personal del SEIS en la totalidad </t>
  </si>
  <si>
    <t xml:space="preserve">aspectos), o con grandes zonas con muy alta densidad de carga de fuego (tales como </t>
  </si>
  <si>
    <t xml:space="preserve">de las mismas. Asimismo, las separaciones de 5 metros de anchura citadas en los </t>
  </si>
  <si>
    <t>sectores de riesgo alto nivel 8 de superficie superior a 2.000 m2</t>
  </si>
  <si>
    <t xml:space="preserve">apartados 1.5 y 1.6 de la sección 1, deben poder servir de caminos de emergencia para </t>
  </si>
  <si>
    <t xml:space="preserve">), se deberán evaluar las </t>
  </si>
  <si>
    <t>el acceso e intervención del personal del SEIS.</t>
  </si>
  <si>
    <t xml:space="preserve">características de estos y las necesidades específicas de intervención en situaciones de </t>
  </si>
  <si>
    <t xml:space="preserve">incendio, y si fuera necesario, aumentar el número de accesos, o el porcentaje de </t>
  </si>
  <si>
    <t xml:space="preserve">longitud de fachada accesible o tomar otras medidas adicionales para lograr el objetivo </t>
  </si>
  <si>
    <t>citado anteriormente</t>
  </si>
  <si>
    <t>Resistencia al fuego mínima de los elementos estructurasles principales con función portante Tabla 2.5.1</t>
  </si>
  <si>
    <t>R 120</t>
  </si>
  <si>
    <t>R120</t>
  </si>
  <si>
    <t>R 180</t>
  </si>
  <si>
    <t>R 30</t>
  </si>
  <si>
    <t>Para la estrutura pricipal de cubiertas ligeras no previstas para ser utilizadas en la evacuación de los ocupantes Nota 1.3.1 Tabla 2.5.2</t>
  </si>
  <si>
    <t>Nota:</t>
  </si>
  <si>
    <t>Para poder aplicar esta tabla en edificios AH, la estructura de cubierta considerada debe ser independiente respecto de los otros establecimientos.</t>
  </si>
  <si>
    <t>1.3.3</t>
  </si>
  <si>
    <t>En edificios de establecimientos industriales de una sola planta y que constituyan un solo sector de incendios, o con zonas administrativas en más de una planta pero compartimentadas del uso industrial según su reglamentación específica y con estructura independiente, situados en edificios de tipo C separados al menos 10 metros de otros establecimientos así como de límites de parcelas con posibilidad de edificar en ellas y libres de mercancías combustibles o elementos intermedios susceptibles de propagar el incendio, y protegidos por un sistema fijo de extinción automática y un sistema para el control de humos y de calor según el apartado 8.3 del anexo III, no será necesario justificar la resistencia al fuego de la estructura.En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</si>
  <si>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 xml:space="preserve">Nota 1.3.1: Para la estructura principal de las cubiertas ligeras no previstas para ser utilizadas en la evacuación de los ocupantes, siempre que se garantice la evacuación del establecimiento y se justifique que su fallo no puede ocasionar daños graves a los edificios o establecimientos próximos y que no se compromete la estabilidad de otras plantas inferiores o la sectorización de incendios implantada y, si el riesgo intrínseco del sector es medio o alto, disponga de un sistema para el control de humos y de calor </t>
  </si>
  <si>
    <t>Nota 1.3.2: En edificios sobre rasante de una sola planta y con cubierta ligera, cuando la superficie total del sector de incendios esté protegida por un sistema fijo de extinción automática y un sistema para el control de humos y de calor</t>
  </si>
  <si>
    <t>R 15</t>
  </si>
  <si>
    <t>SIN JUSTIFICAR</t>
  </si>
  <si>
    <t>Para edificios sobre rasante de una sola planta y con cubierta ligera nota 1.3.2 tabla 2.5.3</t>
  </si>
  <si>
    <t>1.3.4</t>
  </si>
  <si>
    <t>Cuando, de acuerdo con la tabla 2.5.2 o el apartado 1.3.3, esté permitido no justificar la resistencia al fuego, deberá señalizarse esta particularidad en los accesos del edificio para que el personal de los Servicios de Extinción de Incendios y Salvamento tengan conocimiento de ello.</t>
  </si>
  <si>
    <t>En las áreas de incendio ubicadas en espacios abiertos (configuración tipo D), en el caso de existir estructuras, estas deben ser independientes de los edificios colindantes, o bien, disponer de la resistencia al fuego suficiente de forma que, en ambos casos, se eviten potenciales colapsos que puedan arrastrar o afectar a la estructura de los edificios o a los establecimientos colindantes</t>
  </si>
  <si>
    <t>Deteccion y alarma</t>
  </si>
  <si>
    <t xml:space="preserve">Actividad </t>
  </si>
  <si>
    <t>≥ Superficie</t>
  </si>
  <si>
    <t>Necesita</t>
  </si>
  <si>
    <t>≥ Superficie Solo Manual</t>
  </si>
  <si>
    <t>≥ Superficie edificio + ocupación</t>
  </si>
  <si>
    <t>Formula combinación de sectores</t>
  </si>
  <si>
    <t>10.000 m2 + 3 pesonas x 100 m2</t>
  </si>
  <si>
    <t>Megafonia, alarma local y alarma general</t>
  </si>
  <si>
    <t>(SuperficieProducción/SuperficieNecesariaProducciónDetección) + (SuperficieAlmacenamiento/SuperficieNecesariaAlmacenamientoDetección) &gt;=1</t>
  </si>
  <si>
    <r>
      <rPr>
        <sz val="10"/>
        <color rgb="FF000000"/>
        <rFont val="Times New Roman"/>
        <family val="1"/>
      </rPr>
      <t xml:space="preserve">2. Sistemas de abastecimiento de agua contra  incendios.
2.1 Se instalará un sistema de abastecimiento de agua contra  incendios en los siguientes casos:
</t>
    </r>
    <r>
      <rPr>
        <b/>
        <sz val="10"/>
        <color rgb="FF000000"/>
        <rFont val="Times New Roman"/>
        <family val="1"/>
      </rPr>
      <t xml:space="preserve">
a)  Cuando sea  necesario para   dar  servicio,  en  las  condiciones de  caudal, presión y reserva  calculados, a  uno  o  varios  sistemas de  protección contra   incendios, tales   como sistemas de  bocas de  incendio  equipadas (BIE), hidrantes, rociadores automáticos, agua pulverizada, espuma física, entre  otros.
</t>
    </r>
    <r>
      <rPr>
        <sz val="10"/>
        <color rgb="FF000000"/>
        <rFont val="Times New Roman"/>
        <family val="1"/>
      </rPr>
      <t>b) O bien,  si lo exigen  las  disposiciones vigentes que  regulan actividades industriales sectoriales o específicas.
2.2  Los  sistemas de  abastecimiento de  agua contra  incendios deberán cumplir con  las características indicadas en  el anexo I del RIPCI, junto con  las  consideraciones específicas establecidas en el presente reglamento.
2.3  Cuando en  un  establecimiento industrial  coexistan varios  sistemas de  protección contra  incendios, el caudal (Q),  la presión (P)  y la reserva de  agua (R) se dimensionarán atendiendo a los siguientes criterios:
a)  El caudal, presión y la  reserva de  agua deben ser  suficientes para  que  funcionen todos   los  sistemas de  protección  que   deban  actuar  simultáneamente ante   un  incendio localizado. Esto  implica  que,  en  el caso de  que  los  sistemas de  protección que  coexisten vayan  a  necesitar funcionar  al mismo  tiempo  para  actuar sobre un  incendio  en  una  única localización, el sistema de abastecimiento debe calcularse para  que  dichos  sistemas puedan funcionar  simultáneamente.
Por ejemplo,  si en un mismo  sector existen rociadores y BIE para  proteger dicho lugar, el sistema de  abastecimiento (caudal, presión y reserva de  agua) debe estar calculado para que ambos funcionen simultáneamente.
Como   casos  particulares, se  admitirán    los   siguientes  dimensionamientos  en   las siguientes situaciones de simultaneidad:
i. En los casos de  simultaneidad de  BIE con  rociadores, o BIE con  hidrantes, o BIE con cualquier otro sistema que  use  el abastecimiento de agua, para  el cálculo del abastecimiento se admitirá   considerar  únicamente  la  BIE  más   desfavorable,  en   vez   de   las   dos   más desfavorables que  se establece en  la regla  general (ejemplo: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Q</t>
    </r>
    <r>
      <rPr>
        <sz val="7"/>
        <color rgb="FF000000"/>
        <rFont val="Times New Roman"/>
        <family val="1"/>
      </rPr>
      <t>BIE más desfavorable</t>
    </r>
    <r>
      <rPr>
        <sz val="10"/>
        <color rgb="FF000000"/>
        <rFont val="Times New Roman"/>
        <family val="1"/>
      </rPr>
      <t>;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R</t>
    </r>
    <r>
      <rPr>
        <sz val="7"/>
        <color rgb="FF000000"/>
        <rFont val="Times New Roman"/>
        <family val="1"/>
      </rPr>
      <t>BIE más  desfavorable</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y R</t>
    </r>
    <r>
      <rPr>
        <sz val="7"/>
        <color rgb="FF000000"/>
        <rFont val="Times New Roman"/>
        <family val="1"/>
      </rPr>
      <t xml:space="preserve">total  </t>
    </r>
    <r>
      <rPr>
        <sz val="10"/>
        <color rgb="FF000000"/>
        <rFont val="Times New Roman"/>
        <family val="1"/>
      </rPr>
      <t>deberá ser  igual o mayor  al que  se obtendría si estuvieran instaladas únicamente las BIE (usando la regla general).
ii. En los casos de simultaneidad de hidrantes junto con rociadores (o agua pulverizada o
espuma), así  como  en  los  casos de  hidrantes junto  con  rociadores (o agua pulverizada o espuma) y junto con BIE, el dimensionamiento del abastecimiento será suficiente si cumple, como  mínimo, los siguientes requisitos:
– Caudal del abastecimiento: Será la suma del caudal requerido para  los rociadores (o agua pulverizada o espuma), más  el 50 por ciento  del requerido para  los hidrantes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+ 0,5 Q</t>
    </r>
    <r>
      <rPr>
        <sz val="7"/>
        <color rgb="FF000000"/>
        <rFont val="Times New Roman"/>
        <family val="1"/>
      </rPr>
      <t>hidrantes</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deberá ser  igual o mayor que Q</t>
    </r>
    <r>
      <rPr>
        <sz val="7"/>
        <color rgb="FF000000"/>
        <rFont val="Times New Roman"/>
        <family val="1"/>
      </rPr>
      <t>hidrantes</t>
    </r>
    <r>
      <rPr>
        <sz val="10"/>
        <color rgb="FF000000"/>
        <rFont val="Times New Roman"/>
        <family val="1"/>
      </rPr>
      <t>.
– Reserva de  agua del  abastecimiento: Será la suma de  la reserva requerida para  los rociadores (o agua pulverizada o espuma), más  el 50  por  ciento  de  la requerida para  los</t>
    </r>
  </si>
  <si>
    <r>
      <rPr>
        <sz val="10"/>
        <color rgb="FF000000"/>
        <rFont val="Times New Roman"/>
        <family val="1"/>
      </rPr>
      <t>hidrantes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+ 0,5 R</t>
    </r>
    <r>
      <rPr>
        <sz val="7"/>
        <color rgb="FF000000"/>
        <rFont val="Times New Roman"/>
        <family val="1"/>
      </rPr>
      <t>hidrantes</t>
    </r>
    <r>
      <rPr>
        <sz val="10"/>
        <color rgb="FF000000"/>
        <rFont val="Times New Roman"/>
        <family val="1"/>
      </rPr>
      <t>). En todo caso, el valor calculado de R</t>
    </r>
    <r>
      <rPr>
        <sz val="7"/>
        <color rgb="FF000000"/>
        <rFont val="Times New Roman"/>
        <family val="1"/>
      </rPr>
      <t xml:space="preserve">total  </t>
    </r>
    <r>
      <rPr>
        <sz val="10"/>
        <color rgb="FF000000"/>
        <rFont val="Times New Roman"/>
        <family val="1"/>
      </rPr>
      <t>deberá
ser  igual o mayor que R</t>
    </r>
    <r>
      <rPr>
        <sz val="7"/>
        <color rgb="FF000000"/>
        <rFont val="Times New Roman"/>
        <family val="1"/>
      </rPr>
      <t>hidrantes</t>
    </r>
    <r>
      <rPr>
        <sz val="10"/>
        <color rgb="FF000000"/>
        <rFont val="Times New Roman"/>
        <family val="1"/>
      </rPr>
      <t xml:space="preserve">.
b) Para el cálculo  del caudal, presión y reserva de  agua no es obligatorio  contemplar la coincidencia de más  de un foco de incendio  en el establecimiento, dado  que  los sistemas de protección están diseñados para  controlar  y extinguir un incendio  en una  única  localización y que este no se expanda a otras  zonas.
Por  ejemplo,  si un sector está protegido con  rociadores y otro con  agua pulverizada, el sistema de  abastecimiento se puede calcular  de  forma  que  contemple el funcionamiento de estos por  separado y de  manera no  simultánea, ya  que  ante  un  único  foco  solamente se activará uno de ellos (el que esté situado donde esté el incendio).
c) Cuando existan varias  zonas a  proteger con  varios  sistemas de  protección en  cada una,  en  general es suficiente con  calcular  el caudal, presión y reserva para  satisfacer los sistemas de  la zona  con  la demanda más  exigente, entendiendo que,  de  esta forma,  este cálculo va a ser  suficiente para  que  funcionen los sistemas de protección de cada una  de las zonas a proteger, ante  un incendio  en dichas zonas.
d)  Los   caudales  y  reservas  de   agua  calculados según  estos  criterios   tendrán  la consideración  de  valores  mínimos.   No  obstante,  voluntariamente podrán  dimensionarse caudales y reservas mayores a los determinados aquí  si así  se desea, con  el propósito de aumentar el nivel de seguridad del establecimiento o de hacer frente  a situaciones concretas más  exigentes que las indicadas aquí.
e) En el caso de  que  varios  establecimientos industriales compartan un mismo  sistema de abastecimiento para  sus  sistemas de protección contra  incendios, este deberá cumplir lo dispuesto en los párrafos anteriores y además estar diseñado para  el caso de demanda más exigente, pudiéndose considerar escenarios de  incendio  alternativos y excluyentes. Adicionalmente, deberá  garantizarse  su  correcto  mantenimiento  y  accesibilidad  en  todo momento por parte  de los titulares  de los diferentes establecimientos que lo compartan.
</t>
    </r>
  </si>
  <si>
    <t>Tabla 3.3.1</t>
  </si>
  <si>
    <t>≥ Superficie total</t>
  </si>
  <si>
    <t>3.2.3  La función  principal  de  estos hidrantes es el llenado  de  los camiones cisterna de los Servicios de Extinción de Incendios y Salvamento.Cuando se requieran hidrantes de  este tipo, estos deberán estar situados en  el exterior del edificio o espacio abierto  a proteger, a menos de 100 metros de las entradas principales o  fachadas  accesibles  de   los  citados  edificios   y  áreas,  de   forma   que   se  permita   su accesibilidad a los Servicios de Extinción de Incendios y Salvamento.</t>
  </si>
  <si>
    <t>3.2.4 Este  tipo de hidrantes deberá cumplir las condiciones siguientes:a)  A ser  posible,  en  el  caso de  hidrantes que  no  estén situados en  la  vía  pública,  la distancia entre  el  emplazamiento de  cada hidrante y el  límite  exterior  del  edificio  o  zona protegidos, medida perpendicularmente a la fachada, debe ser  al menos de 5 metros.b) La presión mínima  requerida del hidrante será de  100  kPa  (1 kg/cm2)  en  la boca  de salida. El caudal mínimo será de 500 l/min y el tiempo  de autonomía mínimo de 60 minutos. (El caudal y tiempo  de autonomía indicados corresponden al total que  debe ser  suministrado a   la  red   de   hidrantes,  independientemente  del   número  de   hidrantes  instalados).  Los hidrantes de este tipo que se instalen pueden estar conectados a la red pública de suministro de  agua, sin  necesidad de  depósito ni de  equipo  de  bombeo, cuando esta sea capaz de proporcionar la presión y el caudal requeridos.c) Para el cómputo de  la dotación que  se establece se pueden considerar los hidrantes que  se encuentran en  la  vía  pública  a  menos de  100  metros de  la  fachada accesible o entrada de los citados edificios y áreas del establecimiento.</t>
  </si>
  <si>
    <t>Hidrantes Impulsión directa</t>
  </si>
  <si>
    <t>Tabla 3.3.2</t>
  </si>
  <si>
    <t>3.3.2 La función principal de estos hidrantes es la impulsión directa de agua a las zonas a proteger por medio de mangueras o lanzas, pudiendo servir también para el llenado de camiones de los Servicios de Extinción de Incendios y Salvamento.Cuando según la tabla anterior, un sector o área requiera un sistema de hidrantes de este tipo, estos deberán estar situados en el perímetro exterior de los edificios y espaciosabiertos, debiendo la instalación proteger el perímetro de todos los edificios del establecimiento industrial, así como todas las áreas de incendio. No obstante, en el caso de que el establecimiento industrial esté formado por varios edificios o espacios abiertos independientes, separados entre ellos más de 10 metros (o bien de una distancia de, al menos, la altura de los materiales combustibles almacenados, si esta es mayor a 10 metros en espacios abiertos) libres de mercancías combustibles, estos se podrán considerar por separado a efectos de evaluar la necesidad de poner hidrantes de este tipo a cada edificio o espacio abierto.</t>
  </si>
  <si>
    <t>3.3.3 El número de hidrantes de este tipo a instalar y sus características se determinarán según las condiciones siguientes:a) La zona protegida por cada uno de ellos es la cubierta por un radio de 40 metros, medidos horizontalmente desde el emplazamiento del hidrante hasta el perímetro (fachada) del edificio, o bien, hasta el espacio abierto a proteger. En los espacios abiertos (incluidos los entornos de los edificios) los hidrantes deben poder alcanzar las zonas con carga de fuego a proteger como, por ejemplo, los muelles de carga o las zonas de almacenamiento de materiales combustibles.b) En el caso de establecimientos donde parte del perímetro del edificio sea adyacente a otro edificio y por lo tanto dicha parte del perímetro no esté accesible (en configuraciones tipo AH o B), o bien, cuando no se disponga de superficie exterior perimetral propia para la colocación de los hidrantes de impulsión directa en una zona, o bien, cuando existan otras situaciones que imposibiliten instalar los hidrantes en una parte del perímetro del edificio considerado, se situarán los hidrantes solamente en las zonas donde sea factible hacerlo, lo cual se deberá justificar.c) A ser posible, la distancia entre el emplazamiento de cada hidrante y el límite exterior del edificio o zona protegidos, medida perpendicularmente a la fachada, debe estar comprendida entre 5 y 15 metros.d) Deberán identificarse como «hidrantes de impulsión directa», por medio de la señalización o en el propio hidrante, de forma que se puedan diferenciar fácilmente de los hidrantes para el llenado de camiones.e) El establecimiento deberá disponer del equipamiento necesario para poder hacer uso de los hidrantes (mangueras, lanzas, accesorios y herramientas que corresponda).f) La presión mínima requerida para estos hidrantes será de 500 kPa (5 kg/cm2) en la boca de salida, para contrarrestar la pérdida de carga de las mangueras y lanzas, durante la impulsión directa del agua sobre el incendio</t>
  </si>
  <si>
    <t>3.4 Los hidrantes de impulsión directa instalados según el apartado 3.3 también pueden servir para cubrir las exigencias de disponer hidrantes para llenado de camiones señaladas en el apartado 3.2, siempre que también se cumpla con lo citado allí.</t>
  </si>
  <si>
    <t>3.5 En el caso de que varios establecimientos industriales compartan la red de hidrantes con un sistema de abastecimiento conforme al apartado 2 del presente anexo, este deberá estar diseñado para el caso de demanda más exigente, pudiéndose considerar escenarios de incendio alternativos y excluyentes. Además, deberá garantizarse su correcto mantenimiento y accesibilidad en todo momento por parte de los titulares de los diferentes establecimientos que lo compartan.</t>
  </si>
  <si>
    <t>Caudal y tiempo de autonomia de los hidrantes de impulsión directa Tabla 3.3.3</t>
  </si>
  <si>
    <r>
      <rPr>
        <b/>
        <sz val="8"/>
        <color rgb="FF000000"/>
        <rFont val="Arial"/>
        <family val="2"/>
      </rPr>
      <t xml:space="preserve">Caudal
</t>
    </r>
    <r>
      <rPr>
        <b/>
        <sz val="8"/>
        <color rgb="FF000000"/>
        <rFont val="Arial"/>
        <family val="2"/>
      </rPr>
      <t>(l/min)</t>
    </r>
  </si>
  <si>
    <r>
      <rPr>
        <b/>
        <sz val="8"/>
        <color rgb="FF000000"/>
        <rFont val="Arial"/>
        <family val="2"/>
      </rPr>
      <t xml:space="preserve">Autonomía
</t>
    </r>
    <r>
      <rPr>
        <b/>
        <sz val="8"/>
        <color rgb="FF000000"/>
        <rFont val="Arial"/>
        <family val="2"/>
      </rPr>
      <t>(min)</t>
    </r>
  </si>
  <si>
    <r>
      <rPr>
        <b/>
        <sz val="8"/>
        <color rgb="FF000000"/>
        <rFont val="Arial"/>
        <family val="2"/>
      </rPr>
      <t>Eficacia</t>
    </r>
    <r>
      <rPr>
        <b/>
        <sz val="8"/>
        <color rgb="FF000000"/>
        <rFont val="Arial"/>
        <family val="2"/>
      </rPr>
      <t xml:space="preserve"> </t>
    </r>
    <r>
      <rPr>
        <b/>
        <sz val="8"/>
        <color rgb="FF000000"/>
        <rFont val="Arial"/>
        <family val="2"/>
      </rPr>
      <t>mínima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extintor</t>
    </r>
  </si>
  <si>
    <t>Nº de Extintores</t>
  </si>
  <si>
    <r>
      <rPr>
        <b/>
        <sz val="8"/>
        <color rgb="FF000000"/>
        <rFont val="Arial"/>
        <family val="2"/>
      </rPr>
      <t>Superficie</t>
    </r>
    <r>
      <rPr>
        <b/>
        <sz val="8"/>
        <color rgb="FF000000"/>
        <rFont val="Arial"/>
        <family val="2"/>
      </rPr>
      <t xml:space="preserve"> </t>
    </r>
    <r>
      <rPr>
        <b/>
        <sz val="8"/>
        <color rgb="FF000000"/>
        <rFont val="Arial"/>
        <family val="2"/>
      </rPr>
      <t>máxima</t>
    </r>
    <r>
      <rPr>
        <b/>
        <sz val="8"/>
        <color rgb="FF000000"/>
        <rFont val="Arial"/>
        <family val="2"/>
      </rPr>
      <t xml:space="preserve"> </t>
    </r>
    <r>
      <rPr>
        <b/>
        <sz val="8"/>
        <color rgb="FF000000"/>
        <rFont val="Arial"/>
        <family val="2"/>
      </rPr>
      <t>protegida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sector</t>
    </r>
    <r>
      <rPr>
        <b/>
        <sz val="8"/>
        <color rgb="FF000000"/>
        <rFont val="Arial"/>
        <family val="2"/>
      </rPr>
      <t xml:space="preserve"> </t>
    </r>
    <r>
      <rPr>
        <b/>
        <sz val="8"/>
        <color rgb="FF000000"/>
        <rFont val="Arial"/>
        <family val="2"/>
      </rPr>
      <t>de</t>
    </r>
    <r>
      <rPr>
        <b/>
        <sz val="8"/>
        <color rgb="FF000000"/>
        <rFont val="Arial"/>
        <family val="2"/>
      </rPr>
      <t xml:space="preserve"> </t>
    </r>
    <r>
      <rPr>
        <b/>
        <sz val="8"/>
        <color rgb="FF000000"/>
        <rFont val="Arial"/>
        <family val="2"/>
      </rPr>
      <t>incendio</t>
    </r>
  </si>
  <si>
    <t>Extintores portatiles</t>
  </si>
  <si>
    <t>Se  instalarán extintores de  incendio  portátiles en  todos  los sectores de  incendio  de los establecimientos industriales.</t>
  </si>
  <si>
    <t>21 A</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</si>
  <si>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</si>
  <si>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Como  excepción a  lo anterior, en  las  zonas de  los  almacenamientos operados automáticamente, en los que  la actividad  impide el acceso de personas, podrá  justificarse la no instalación de extintores.</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</si>
  <si>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</si>
  <si>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</si>
  <si>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Agente extintor estipulado en el anexo I del RIPCI</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</si>
  <si>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</si>
  <si>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</si>
  <si>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34 A</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</si>
  <si>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</si>
  <si>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Cuando en el sector de incendio coexistan combustibles de la clase A y de la clase B, se considerará que la clase de fuego del sector de incendio es A o B cuando la carga de fuego aportada por los combustibles de clase A o de clase B, respectivamente, sea, al menos, el 90 por ciento de la carga de fuego del sector. En otro caso, la clase de fuego del sector de incendio se considerará A-B.Si la clase de fuego del sector de incendio es A o B, se determinará la dotación de extintores del sector de incendio de acuerdo con la tabla 3.4.1 o con la tabla 3.4.2, respectivamente.Si la clase de fuego del sector de incendio es A-B, se determinará la dotación de extintores del sector de incendio sumando los necesarios para cada clase de fuego (A y B), evaluados independientemente según la tabla 3.4.1 y la tabla 3.4.2 respectivamente.Cuando en el sector de incendio existan combustibles de clase C que puedan aportar una carga de fuego que sea, al menos, el 90 por ciento de la carga de fuego del sector, se determinará la dotación de extintores de acuerdo con la reglamentación sectorial específica que les afecte. En otro caso, no se incrementará la dotación de extintores si los necesarios por la presencia de otros combustibles (clase A o B) son aptos para fuegos de clase C.Cuando en el sector de incendio existan combustibles de clase D, se utilizarán agentes extintores de características específicas adecuadas a la naturaleza del combustible, que podrán proyectarse sobre el fuego con extintores, o medios manuales, de acuerdo con la situación y las recomendaciones particulares del fabricante del agente extintor.</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</si>
  <si>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</si>
  <si>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</si>
  <si>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(S-600)/200 +1</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</si>
  <si>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</si>
  <si>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</si>
  <si>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(S-400)/200 +1</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</si>
  <si>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</si>
  <si>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</si>
  <si>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</si>
  <si>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(S-300)/200 +1</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</si>
  <si>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</si>
  <si>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</si>
  <si>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</si>
  <si>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Volumen máximo (V) de combustibles líquidos en el sector de incendio</t>
  </si>
  <si>
    <t>V ≤ 20</t>
  </si>
  <si>
    <t>20 &lt; V ≤ 50</t>
  </si>
  <si>
    <t>50 &lt; V ≤ 100</t>
  </si>
  <si>
    <t>100 &lt; V ≤ 200</t>
  </si>
  <si>
    <t>200 &lt; V ≤ 750</t>
  </si>
  <si>
    <t>V &gt; 750</t>
  </si>
  <si>
    <t>Eficacia  mínima del extintor.</t>
  </si>
  <si>
    <t>113 B</t>
  </si>
  <si>
    <t>144 B</t>
  </si>
  <si>
    <t>233 B</t>
  </si>
  <si>
    <t>1+ Extintor movil</t>
  </si>
  <si>
    <t>2+ Extintores moviles</t>
  </si>
  <si>
    <t>Eficacia Minima si 50% de V contenido en recipientes metalicos</t>
  </si>
  <si>
    <t>4.3 En el caso de fuegos que se desarrollan en presencia de aparatos o cuadros eléctricos, conductores u otros elementos con tensión eléctrica, debe verificarse que el extintor escogido es apto para dicho voltaje.</t>
  </si>
  <si>
    <t>Nota 1: Cuando más del 50 por ciento del volumen de los combustibles líquidos (V) esté contenido en recipientes metálicos perfectamente cerrados, la eficacia mínima del extintor puede reducirse a la inmediatamente anterior de la clase B.</t>
  </si>
  <si>
    <t>4.4 El emplazamiento de los extintores portátiles permitirá que sean fácilmente visibles y accesibles, estarán situados próximos a los puntos donde se estime mayor probabilidad de iniciarse el incendio y su distribución será tal que el recorrido máximo horizontal, desde cualquier punto del sector de incendio hasta el extintor, no supere 15 metros.</t>
  </si>
  <si>
    <t>Nota 2: Cuando el volumen de combustibles líquidos en el sector o área de incendio (V) supere los 200 litros, se incrementará la dotación de extintores portátiles añadiendo extintores móviles sobre ruedas de una eficacia mínima II B (por ejemplo, de 50 kg de polvo BC o ABC, o bien, uno equivalente de agua con aditivos), a razón de:a) Un extintor, si V es mayor de 200 litros y menor o igual de 750 litros.b) Dos extintores, si V es mayor de 750 litros.c) En el caso de que exista reglamentación sectorial o específica se aplicará lo dispuesto allí, no siendo aplicable lo dispuesto en esta tabla.</t>
  </si>
  <si>
    <t>4.5 Se instalarán extintores portátiles en todas las áreas de incendio de los establecimientos industriales (configuración tipo D), excepto en las áreas cuyo nivel de riesgo intrínseco sea bajo 1. La dotación de estos se realizará de acuerdo con lo establecido en los párrafos anteriores, excepto en lo relativo al recorrido máximo hasta uno de ellos, que podrá ampliarse a 25 metros.</t>
  </si>
  <si>
    <t>Bies</t>
  </si>
  <si>
    <t>Para todas las actividades</t>
  </si>
  <si>
    <t>Tipo de BIE</t>
  </si>
  <si>
    <t>Si para riego medio ya existieran BIES de 45 mm estas serán admitidas</t>
  </si>
  <si>
    <t>Para riego alto se admitirá instalar BIES de 25 mm con una toma adicional de 45 mm</t>
  </si>
  <si>
    <t>45 mm</t>
  </si>
  <si>
    <t>≥ Altura Evacuación</t>
  </si>
  <si>
    <t>Extinción Automatica</t>
  </si>
  <si>
    <t>7.1.2 En sectores de riesgo bajo, donde dentro de un mismo sector coexistan zonas de fabricación con grandes zonas de almacenamiento, con densidad de carga de fuego no uniforme entre ellas, deberá realizarse adicionalmente un cálculo del NRI para cada una de estas zonas, y disponerse de sistemas fijos de extinción automática en todo el sector en el caso de que alguna de ellas sea de nivel de riesgo intrínseco medio o alto, con una superficie igual o superior a la indicada en el apartado 7.1.1. No será aplicable este párrafo si las zonas con mayor densidad de carga de fuego están distribuidas dentro del sector agrupadas en superficies inferiores.</t>
  </si>
  <si>
    <t xml:space="preserve">7.1.3 Los rociadores automáticos pueden ser sustituidos por otros tipos de sistemas fijos de extinción automática recogidos en el RIPCI, siempre que estos sean adecuados </t>
  </si>
  <si>
    <t>Sistemas fijos de extincion por agua pulverizada</t>
  </si>
  <si>
    <t>Se   instalarán sistemas  de  agua  pulverizada cuando por  la  configuración, contenido, proceso y  ubicación del  riesgo  sea necesario refrigerar   partes de  este para   asegurar  la estabilidad de su estructura 
y evitar los efectos del calor de radiación emitido por otro riesgo cercano.  
También se  instalarán en   aquellos sectores  y  áreas  de   incendio   donde sea preceptiva  su   instalación  de   acuerdo  con   las   disposiciones  vigentes  
que   regulan  la protección contra  incendios en actividades industriales sectoriales o específicas.</t>
  </si>
  <si>
    <t>Sistemas fijos de extinción por espuma física</t>
  </si>
  <si>
    <t>Se  instalarán sistemas de espuma física en aquellos sectores y áreas de incendio  donde sea  preceptiva su  instalación de  acuerdo con  las  disposiciones vigentes que  regulan  la protección contra  incendios en actividades industriales, sectoriales o específicas.</t>
  </si>
  <si>
    <t>Cuando se instalen estos sistemas, debe verificarse que  sean adecuados para  el riesgo a proteger, conforme a sus  especificaciones.</t>
  </si>
  <si>
    <t>Sistemas fijos de extinción por polvo</t>
  </si>
  <si>
    <t>Se  instalarán sistemas de  extinción  por  polvo  en  aquellos sectores de  incendio  donde</t>
  </si>
  <si>
    <t>sea  preceptiva su  instalación de  acuerdo con  las  disposiciones vigentes que  regulan  la protección contra  incendios en actividades industriales sectoriales o específicas.</t>
  </si>
  <si>
    <t>Sistemas fijos de extinción por agentes gaseosos</t>
  </si>
  <si>
    <t>Cuando sea  preceptiva la  instalación  de  sistemas fijos  de  extinción   automática,  se instalarán preferentemente sistemas  de  extinción  por  agentes extintores gaseosos  en  los sectores  de   incendio   de   los  establecimientos  industriales,  cuando  constituyan  recintos dedicados a albergar equipos eléctricos o electrónicos, centros de cálculo,  bancos de datos, centros de  control  o medida y análogos, y la protección con  sistemas de  agua pueda dañar dichos   equipos.  También se  instalarán  en   aquellos  sectores  de   incendio   donde sea preceptiva  su   instalación  de   acuerdo  con   las   disposiciones  vigentes  que   regulan  la protección contra  incendios en actividades industriales sectoriales o específicas.</t>
  </si>
  <si>
    <t>En  todo  caso, este tipo  de  sistemas sólo  se podrá   instalar   y  utilizar  cuando quede garantizada la seguridad y la evacuación de las personas. En caso contrario, deberá optarse por instalar  otro tipo distinto de sistema fijo de extinción.</t>
  </si>
  <si>
    <t>Notas MsgBox Interfaz</t>
  </si>
  <si>
    <t>Control de humos</t>
  </si>
  <si>
    <t>En los casos de presencia habitual de personas, con una densidad de ocupación del sector superior a 10 personas por cada 100 m2o bien, cuando sea superior a 5 personas por cada 100 m2 y laaltura de techo sea inferior a 5 metros, el sistema se debe diseñar con los objetivos de protección de los medios de evacuación y de facilitación de las operaciones de lucha contra incendios.</t>
  </si>
  <si>
    <t>En los casos de menor presencia de personas, se debe diseñar con los objetivos de facilitación de las operaciones de lucha contra incendios; y además, de protección de bienes, o bien, de control de temperatura de los gases</t>
  </si>
  <si>
    <t>8.4 En sectores de riesgo medio o alto de tamaño inferior al indicado en el apartado 8.2, siempre que sean de al menos 100 m2, se instalarán sistemas para el control de humos y de calor según el apartado 8.3, o bien, alternativamente a estos, se podrá disponer de huecos de ventilación que faciliten la extracción de los humos (los cuales no computarán como sistemas para el control de humos y de calor, siendo estos una solución simplificada), pudiendo tomarse como referencia para su diseño (y quedando fuera del ámbito de aplicación del RIPCI) los siguientes valores de huecos, a razón de:</t>
  </si>
  <si>
    <t>2º Los extractores deberán tener una clasificación F400 120. En caso de utilizarse conductos para la extracción de humos o para la aportación de aire que estén inmersos en el sector de incendios, deberán tener una clasificación E600 60 si discurren por un único sector o EI 120 si atraviesan elementos compartimentadores de incendio.</t>
  </si>
  <si>
    <t>Sistemas ventilación</t>
  </si>
  <si>
    <t>Superficie Aerodinámica</t>
  </si>
  <si>
    <t>Renovaciones por hora</t>
  </si>
  <si>
    <t>3.º La aportación de aire se realizará de forma natural salvo que la ubicación del sector lo impida, en cuyo caso se realizará de forma mecánica en la parte baja del sector en una proporción máxima del 80 % del caudal requerido para la salida de humos y con activación únicamente manual por parte del SEIS desde un puesto de mando fácilmente accesible y localizable.</t>
  </si>
  <si>
    <t>0.5*(S/200)</t>
  </si>
  <si>
    <t>0.5*(S/150)</t>
  </si>
  <si>
    <t>0.5*(S/100)</t>
  </si>
  <si>
    <t>El  alumbrado de  emergencia cumplirá   con  los  requisitos aplicables  de  la  sección  4</t>
  </si>
  <si>
    <t>«Seguridad frente  al riesgo  causado por iluminación  inadecuada» del Documento Básico  de</t>
  </si>
  <si>
    <t>Seguridad de utilización y accesibilidad del Código Técnico  de Edificación  (CTE DB-SUA 4).</t>
  </si>
  <si>
    <t>Señaletica</t>
  </si>
  <si>
    <t>Mecanismos Activa</t>
  </si>
  <si>
    <t>Será importante respasar como vamos a poner estos nombre en el interfaz final, mi idea será hacer una comprobación en esta tabla de si necesitan señaletica</t>
  </si>
  <si>
    <t>Detección</t>
  </si>
  <si>
    <t>Esto viene del correo de Maite del 27/06/25</t>
  </si>
  <si>
    <t>Abastecimiento</t>
  </si>
  <si>
    <t>Hidrantes</t>
  </si>
  <si>
    <t>Extintores</t>
  </si>
  <si>
    <t>BIES</t>
  </si>
  <si>
    <t>Extinción Automática</t>
  </si>
  <si>
    <t>Columna Seca</t>
  </si>
  <si>
    <t>Control de Humos</t>
  </si>
  <si>
    <t>Alumbrado de Emergencia</t>
  </si>
  <si>
    <t>Los  medios  de   protección  contra   incendios  de   utilización   manual  (tales   como extintores, pulsadores  de  alarma, BIE  o  hidrantes) deberán  señalizarse  para   facilitar  su localización.</t>
  </si>
  <si>
    <t>Configuraciones</t>
  </si>
  <si>
    <t>QS Limites</t>
  </si>
  <si>
    <t>Boolean</t>
  </si>
  <si>
    <t>QS (MJ/m2) LIM</t>
  </si>
  <si>
    <t>Sistuación</t>
  </si>
  <si>
    <r>
      <rPr>
        <sz val="11"/>
        <color theme="1"/>
        <rFont val="Aptos Narrow"/>
        <family val="2"/>
      </rPr>
      <t xml:space="preserve">≤ </t>
    </r>
    <r>
      <rPr>
        <sz val="11"/>
        <color theme="1"/>
        <rFont val="Calibri"/>
        <family val="2"/>
      </rPr>
      <t>425 MJ/m2</t>
    </r>
  </si>
  <si>
    <t>≤ 850 MJ/m2</t>
  </si>
  <si>
    <t>Pasillos y escaleras protegidos</t>
  </si>
  <si>
    <t>≤ 1275 MJ/m2</t>
  </si>
  <si>
    <t>Aparcamientos y sectores de nivel de riesgo intrínseco alto</t>
  </si>
  <si>
    <t>≤ 1700 MJ/m2</t>
  </si>
  <si>
    <t>Espacios ocultos no estancos o susceptibles de provocar un encendio</t>
  </si>
  <si>
    <t>≤ 3400 MJ/m2</t>
  </si>
  <si>
    <t>≤ 6800 MJ/m2</t>
  </si>
  <si>
    <t>≤ 13600 MJ/m2</t>
  </si>
  <si>
    <t>&gt; 13600 MJ/m2</t>
  </si>
  <si>
    <t xml:space="preserve">REQUERIMIENTOS RSCIEI (RD164/2025): </t>
  </si>
  <si>
    <t>SUPERFICIE (m2)</t>
  </si>
  <si>
    <t>Qs(MJ/m2)</t>
  </si>
  <si>
    <t>TIPO</t>
  </si>
  <si>
    <t>NIVEL DE RIESGO</t>
  </si>
  <si>
    <t xml:space="preserve">FACTOR </t>
  </si>
  <si>
    <t>SUPERFICIE MÁXIMA DEL SECTOR (m2)</t>
  </si>
  <si>
    <t>Máx. Superficie Admisible (Tabla 2.1.1)</t>
  </si>
  <si>
    <t>NOTAS REFERENCIADAS</t>
  </si>
  <si>
    <t>Superficie máxima del sector corregida (m2)</t>
  </si>
  <si>
    <r>
      <rPr>
        <b/>
        <sz val="10"/>
        <color theme="1"/>
        <rFont val="Century Gothic"/>
        <family val="2"/>
      </rPr>
      <t xml:space="preserve">NOTA 1.a/1.b
</t>
    </r>
    <r>
      <rPr>
        <sz val="10"/>
        <color theme="1"/>
        <rFont val="Century Gothic"/>
        <family val="2"/>
      </rPr>
      <t>BAJO RASANTE</t>
    </r>
  </si>
  <si>
    <t>Notas aplicables simultáneamente</t>
  </si>
  <si>
    <r>
      <rPr>
        <b/>
        <sz val="10"/>
        <color theme="1"/>
        <rFont val="Century Gothic"/>
        <family val="2"/>
      </rPr>
      <t xml:space="preserve">NOTA 4
</t>
    </r>
    <r>
      <rPr>
        <sz val="10"/>
        <color theme="1"/>
        <rFont val="Century Gothic"/>
        <family val="2"/>
      </rPr>
      <t>SIN LÍMITE si Tipo C, Rociadores en todo el sector y &gt;10m a otro estable. o Lím. Parcela</t>
    </r>
  </si>
  <si>
    <r>
      <rPr>
        <b/>
        <sz val="10"/>
        <color theme="1"/>
        <rFont val="Century Gothic"/>
        <family val="2"/>
      </rPr>
      <t xml:space="preserve">NOTA 5
</t>
    </r>
    <r>
      <rPr>
        <sz val="10"/>
        <color theme="1"/>
        <rFont val="Century Gothic"/>
        <family val="2"/>
      </rPr>
      <t>Excepciones a los NO ADMITIDOS (*)</t>
    </r>
  </si>
  <si>
    <r>
      <rPr>
        <b/>
        <sz val="10"/>
        <color theme="1"/>
        <rFont val="Century Gothic"/>
        <family val="2"/>
      </rPr>
      <t xml:space="preserve">NOTA 2
</t>
    </r>
    <r>
      <rPr>
        <sz val="10"/>
        <color theme="1"/>
        <rFont val="Century Gothic"/>
        <family val="2"/>
      </rPr>
      <t>FACTOR x1,25 si fachada accesible ≥50% perímetro</t>
    </r>
  </si>
  <si>
    <r>
      <rPr>
        <b/>
        <sz val="10"/>
        <color theme="1"/>
        <rFont val="Century Gothic"/>
        <family val="2"/>
      </rPr>
      <t xml:space="preserve">NOTA 3
</t>
    </r>
    <r>
      <rPr>
        <sz val="10"/>
        <color theme="1"/>
        <rFont val="Century Gothic"/>
        <family val="2"/>
      </rPr>
      <t>FACTOR x2 si Rociadores en todo el sector</t>
    </r>
  </si>
  <si>
    <t>(*) NOTA 5:</t>
  </si>
  <si>
    <t>a)</t>
  </si>
  <si>
    <t>Exclusivamente almacenamiento. Sólo carga de baterías si Sistema fijo + Det+ Puls + Alarma. Separado 2,5m de combustibles.</t>
  </si>
  <si>
    <t>-</t>
  </si>
  <si>
    <t>b)</t>
  </si>
  <si>
    <t>Estructura, muros y cubiertas delimitadores INDEP. AH estructura común pero cubierta INDEP si su colapso no afecta colindantes + Sistema fijo + SCTEH</t>
  </si>
  <si>
    <t>c)</t>
  </si>
  <si>
    <r>
      <rPr>
        <sz val="10"/>
        <color theme="1"/>
        <rFont val="Century Gothic"/>
        <family val="2"/>
      </rPr>
      <t xml:space="preserve">Sector sobre rasante con altura de evacuación &lt;15m y fachada accesible </t>
    </r>
    <r>
      <rPr>
        <sz val="10"/>
        <color theme="1"/>
        <rFont val="Aptos Narrow"/>
        <family val="2"/>
      </rPr>
      <t>≥</t>
    </r>
    <r>
      <rPr>
        <sz val="10"/>
        <color theme="1"/>
        <rFont val="Century Gothic"/>
        <family val="2"/>
      </rPr>
      <t>5m.</t>
    </r>
  </si>
  <si>
    <t>d)</t>
  </si>
  <si>
    <t>Al menos 1 BIE si S&gt;25m2</t>
  </si>
  <si>
    <t>e)</t>
  </si>
  <si>
    <t>Máx. S=100m2</t>
  </si>
  <si>
    <t>i.</t>
  </si>
  <si>
    <t>300m2 (AV), 1.500m2 (AH), 3000m2 (B) si Sistema fijo + Det+ Puls + Alarma + SCTEH</t>
  </si>
  <si>
    <t>ii.</t>
  </si>
  <si>
    <r>
      <rPr>
        <sz val="10"/>
        <color theme="1"/>
        <rFont val="Century Gothic"/>
        <family val="2"/>
      </rPr>
      <t xml:space="preserve">5000m2 (AH, NRI Alto 6,7,8), 6000m2 (B, NRI Alto 8) si TODO LO ANTERIOR + ESFR + Central remota monit. continua + planta de salida + </t>
    </r>
    <r>
      <rPr>
        <sz val="10"/>
        <color theme="1"/>
        <rFont val="Aptos Narrow"/>
        <family val="2"/>
      </rPr>
      <t>≥</t>
    </r>
    <r>
      <rPr>
        <sz val="10"/>
        <color theme="1"/>
        <rFont val="Century Gothic"/>
        <family val="2"/>
      </rPr>
      <t xml:space="preserve">2 salidas Ext. + 2 zonas de fachada accesible (&gt;30%perímetro) en fach. Opuestas o perpend. + Edif. 1 planta + Pasillos estanterís </t>
    </r>
    <r>
      <rPr>
        <sz val="10"/>
        <color theme="1"/>
        <rFont val="Aptos Narrow"/>
        <family val="2"/>
      </rPr>
      <t>≥</t>
    </r>
    <r>
      <rPr>
        <sz val="10"/>
        <color theme="1"/>
        <rFont val="Century Gothic"/>
        <family val="2"/>
      </rPr>
      <t>3m.</t>
    </r>
  </si>
  <si>
    <t>Comentarios:</t>
  </si>
  <si>
    <t>RESISTENCIA AL FUEGO DE ELEMENTOS CONSTRUCTIVOS QUE DELIMITAN SECTORES DE INCENDIO</t>
  </si>
  <si>
    <t>Elementos constructivos delimitadores 
(Tabla 2.1.2)</t>
  </si>
  <si>
    <r>
      <rPr>
        <b/>
        <sz val="10"/>
        <color theme="1"/>
        <rFont val="Century Gothic"/>
        <family val="2"/>
      </rPr>
      <t xml:space="preserve">NOTA 4
</t>
    </r>
    <r>
      <rPr>
        <sz val="10"/>
        <color theme="1"/>
        <rFont val="Century Gothic"/>
        <family val="2"/>
      </rPr>
      <t xml:space="preserve">Elementos constructivos delimitadores CORREGIDA si: 1 sola planta + Cubierta ligera + Roc. + SCTEH </t>
    </r>
    <r>
      <rPr>
        <b/>
        <sz val="10"/>
        <color theme="1"/>
        <rFont val="Century Gothic"/>
        <family val="2"/>
      </rPr>
      <t xml:space="preserve">
(Tabla 2.1.3)</t>
    </r>
  </si>
  <si>
    <t>Puertas de paso peatonal entre sectores</t>
  </si>
  <si>
    <t>REACCIÓN AL FUEGO DE LOS ELEMENTOS CONSTRUCTIVOS</t>
  </si>
  <si>
    <t>Paredes y Techos</t>
  </si>
  <si>
    <t>RESISTENCIA AL FUEGO DE MEDIANERÍAS, MUROS, FORJADOS Y FACHADAS DE EDIFICIOS</t>
  </si>
  <si>
    <r>
      <rPr>
        <b/>
        <sz val="10"/>
        <color theme="1"/>
        <rFont val="Century Gothic"/>
        <family val="2"/>
      </rPr>
      <t xml:space="preserve">Elementos separadores con otros establecimientos a </t>
    </r>
    <r>
      <rPr>
        <b/>
        <sz val="10"/>
        <color theme="1"/>
        <rFont val="Calibri"/>
        <family val="2"/>
      </rPr>
      <t>≤</t>
    </r>
    <r>
      <rPr>
        <b/>
        <sz val="8"/>
        <color theme="1"/>
        <rFont val="Century Gothic"/>
        <family val="2"/>
      </rPr>
      <t>3m</t>
    </r>
    <r>
      <rPr>
        <b/>
        <sz val="10"/>
        <color theme="1"/>
        <rFont val="Century Gothic"/>
        <family val="2"/>
      </rPr>
      <t xml:space="preserve"> 
(Tabla 2.2.1)</t>
    </r>
  </si>
  <si>
    <r>
      <rPr>
        <b/>
        <sz val="10"/>
        <color theme="1"/>
        <rFont val="Century Gothic"/>
        <family val="2"/>
      </rPr>
      <t xml:space="preserve">NOTA 4
</t>
    </r>
    <r>
      <rPr>
        <sz val="10"/>
        <color theme="1"/>
        <rFont val="Century Gothic"/>
        <family val="2"/>
      </rPr>
      <t>Elementos separadores con establecimientos colindantes 2 MUROS</t>
    </r>
  </si>
  <si>
    <t>Puertas de paso peatonal entre establecimientos</t>
  </si>
  <si>
    <t>Encuentros de fachadas y cubiertas entre sectores</t>
  </si>
  <si>
    <t>Encuentros de fachadas y cubiertas entre establecimientos</t>
  </si>
  <si>
    <t>Reacción al fuego de Fachadas</t>
  </si>
  <si>
    <t>EVACUACIÓN DE LOS ESTABLECIMIENTOS INDUSTRIALES</t>
  </si>
  <si>
    <t>Longitud del recorrido de evacuación en el caso de una única salida o de recorrido sin alternativa (m) (***)
(Tabla 2.3.1)</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</si>
  <si>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</si>
  <si>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</si>
  <si>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</si>
  <si>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t>Longitud del recorrido de evacuación en el caso de una única salida o de recorrido sin alternativa (m)</t>
  </si>
  <si>
    <t>Longitud del recorrido de evacuación en el caso de dos saldias alternativas (m)</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</si>
  <si>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</si>
  <si>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</si>
  <si>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</si>
  <si>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r>
      <rPr>
        <b/>
        <sz val="10"/>
        <color theme="1"/>
        <rFont val="Century Gothic"/>
        <family val="2"/>
      </rPr>
      <t xml:space="preserve">NOTA 5
</t>
    </r>
    <r>
      <rPr>
        <sz val="10"/>
        <color theme="1"/>
        <rFont val="Century Gothic"/>
        <family val="2"/>
      </rPr>
      <t>Si NRI Bajo1 + Limitación    en mat. existentes</t>
    </r>
  </si>
  <si>
    <t>Longitud de evacuacion - existente (m)</t>
  </si>
  <si>
    <t>Anchura mínima libre en tramos rectos (m)</t>
  </si>
  <si>
    <t>Anchura mínima libre en tramos curvos (m)</t>
  </si>
  <si>
    <t>Altura mínima libre (m)</t>
  </si>
  <si>
    <t>7,2</t>
  </si>
  <si>
    <t>4,5</t>
  </si>
  <si>
    <t>ENTORNO DE LOS EDIFICIOS</t>
  </si>
  <si>
    <t>Anchura mínima libre (m)</t>
  </si>
  <si>
    <t>Separación máx. Del vehículo SEIS a fachada (m)</t>
  </si>
  <si>
    <t>ACCESIBILIDAD A LA FACHADA Y AL INTERIOR</t>
  </si>
  <si>
    <t>Dimensiones de los huecos (m x m)</t>
  </si>
  <si>
    <t>Distancia máx. entre ejes de huecos (m)</t>
  </si>
  <si>
    <t>Longitud de la fachada accesible respecto al perimetro</t>
  </si>
  <si>
    <t>0,8 x 1,2</t>
  </si>
  <si>
    <t>RESISTENCIA AL FUEGO DE LOS ELEMENTOS ESTRUCTURALES PRINCIPALES PORTANTES</t>
  </si>
  <si>
    <t>Estructura portante sobre rasante
(Tabla 2.5.1)</t>
  </si>
  <si>
    <t>Cubierta ligera justificando que su fallo no ocasiona daños graves a otros edificios o establecimientos, siendo riesgo bajo, o si es riesgo medio o alto tiene SCTEH
(Tabla 2.5.2)</t>
  </si>
  <si>
    <t>Sobre rasante de una sola planta, cubierta ligera con Sistema fijo y SCTEH
(Tabla 2.5.3)</t>
  </si>
  <si>
    <t>Establecimientos tipo C de una planta y un único sector (sin tener en cuenta el sector admin.) con Sistema fijo y SCTEH y separados al menos 10m de otros estable. o límites de parcela</t>
  </si>
  <si>
    <t>ANEXO III. REQUISITOS DOTACIONALES DE LAS INSTALACIONES DE PROTECCIÓN ACTIVA CONTRA INCENDIOS DE LOS ESTABLECIMIENTOS INDUSTRIALES.</t>
  </si>
  <si>
    <t>SISTEMA</t>
  </si>
  <si>
    <t>1. Sistema de Detección y  Alarma</t>
  </si>
  <si>
    <t>2. Sistemas de abastecimiento (**)</t>
  </si>
  <si>
    <t>3. Sistemas de Hidrantes</t>
  </si>
  <si>
    <t>4. Extintores</t>
  </si>
  <si>
    <t>5. Bocas de incendio</t>
  </si>
  <si>
    <t>6. Columna seca</t>
  </si>
  <si>
    <t>7. Sistemas fijos (**)</t>
  </si>
  <si>
    <t>8. Sistema de control de humos y calor (SCTEH)</t>
  </si>
  <si>
    <t>9. Alumbrado de emergencia</t>
  </si>
  <si>
    <t>10. Señalización</t>
  </si>
  <si>
    <t>Detección automática</t>
  </si>
  <si>
    <t>Pulsadores manuales</t>
  </si>
  <si>
    <t>Comunicación de alarma</t>
  </si>
  <si>
    <t>Hidrantes para llenado de camiones</t>
  </si>
  <si>
    <t>Hidrantes de impulsión directa</t>
  </si>
  <si>
    <t>EXIGENCIA</t>
  </si>
  <si>
    <t>EXISTENTE</t>
  </si>
  <si>
    <t>(*) Siempre que se requiera dar servicio a sistemas de PCI (BIEs, hidrantes, rociadores u otros sistemas fijos). Caudal y tiempo de autonomía según Tabla 3.3.3.</t>
  </si>
  <si>
    <t>(**)  Sistemas de rociadores o, si aplica, otro sistema fijo (sistema de agua pulverizada, de espuma física, de polvo o de gas).</t>
  </si>
  <si>
    <t>(***) En el caso de que la distancia se vea corregida por los factores descritos, estos factores ya han sido aplicados sobre la distancia mostrada</t>
  </si>
  <si>
    <t>Edifcio 1</t>
  </si>
  <si>
    <t>Sector 1</t>
  </si>
  <si>
    <t>En caso de no existir combustibles liquidos en el establecimiento, no necesita extintores porttiles</t>
  </si>
  <si>
    <t>21A</t>
  </si>
  <si>
    <t>CALCULADO: 10/11/2025 11:10:34</t>
  </si>
  <si>
    <t>VERDADERO</t>
  </si>
  <si>
    <t>Camaleonica</t>
  </si>
  <si>
    <t>RapContraElracismo</t>
  </si>
  <si>
    <t>MODIFICADO: 10/11/2025 13:08:05</t>
  </si>
  <si>
    <t>La casa buena</t>
  </si>
  <si>
    <t>ORIGEN</t>
  </si>
  <si>
    <t>TOKEN_ID</t>
  </si>
  <si>
    <t>CONFIG</t>
  </si>
  <si>
    <t>TEXTO</t>
  </si>
  <si>
    <t>PRIORIDAD</t>
  </si>
  <si>
    <t>MULTI</t>
  </si>
  <si>
    <t>ESCAPE_RTF</t>
  </si>
  <si>
    <t>ES_REGEX</t>
  </si>
  <si>
    <t>ACTIVO</t>
  </si>
  <si>
    <t>SCALAR</t>
  </si>
  <si>
    <t>{NRI}</t>
  </si>
  <si>
    <t>{CONFIGURACION}</t>
  </si>
  <si>
    <t>{EMPRESA}</t>
  </si>
  <si>
    <t>TXT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</si>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</sst>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scheme val="minor"/>
    </font>
    <font>
      <sz val="11"/>
      <color theme="1"/>
      <name val="Calibri"/>
      <family val="2"/>
      <scheme val="minor"/>
    </font>
    <font>
      <b/>
      <sz val="12"/>
      <color rgb="FFFFFFFF"/>
      <name val="Century Gothic"/>
      <family val="2"/>
    </font>
    <font>
      <sz val="11"/>
      <name val="Calibri"/>
      <family val="2"/>
    </font>
    <font>
      <b/>
      <sz val="12"/>
      <color theme="1"/>
      <name val="Century Gothic"/>
      <family val="2"/>
    </font>
    <font>
      <b/>
      <sz val="11"/>
      <color theme="1"/>
      <name val="Calibri"/>
      <family val="2"/>
    </font>
    <font>
      <sz val="10"/>
      <color theme="1"/>
      <name val="Century Gothic"/>
      <family val="2"/>
    </font>
    <font>
      <sz val="11"/>
      <color theme="1"/>
      <name val="Century Gothic"/>
      <family val="2"/>
    </font>
    <font>
      <sz val="11"/>
      <color theme="1"/>
      <name val="Calibri"/>
      <family val="2"/>
    </font>
    <font>
      <b/>
      <sz val="12"/>
      <color theme="0"/>
      <name val="Century Gothic"/>
      <family val="2"/>
    </font>
    <font>
      <u/>
      <sz val="11"/>
      <color theme="1"/>
      <name val="Calibri"/>
      <family val="2"/>
    </font>
    <font>
      <sz val="11"/>
      <color theme="1"/>
      <name val="Calibri"/>
      <family val="2"/>
      <scheme val="minor"/>
    </font>
    <font>
      <sz val="11"/>
      <color rgb="FF000000"/>
      <name val="Century Gothic"/>
      <family val="2"/>
    </font>
    <font>
      <sz val="14"/>
      <color rgb="FF404040"/>
      <name val="Century Gothic"/>
      <family val="2"/>
    </font>
    <font>
      <sz val="11"/>
      <color rgb="FF404040"/>
      <name val="Century Gothic"/>
      <family val="2"/>
    </font>
    <font>
      <b/>
      <sz val="8"/>
      <color rgb="FF000000"/>
      <name val="Arial"/>
      <family val="2"/>
    </font>
    <font>
      <sz val="8"/>
      <color rgb="FF000000"/>
      <name val="Times New Roman"/>
      <family val="1"/>
    </font>
    <font>
      <sz val="11"/>
      <color rgb="FF000000"/>
      <name val="Calibri"/>
      <family val="2"/>
    </font>
    <font>
      <b/>
      <sz val="11"/>
      <color rgb="FF000000"/>
      <name val="Calibri"/>
      <family val="2"/>
    </font>
    <font>
      <sz val="10"/>
      <color rgb="FF000000"/>
      <name val="Times New Roman"/>
      <family val="1"/>
    </font>
    <font>
      <b/>
      <sz val="18"/>
      <color theme="1"/>
      <name val="Century Gothic"/>
      <family val="2"/>
    </font>
    <font>
      <b/>
      <sz val="10"/>
      <color theme="1"/>
      <name val="Century Gothic"/>
      <family val="2"/>
    </font>
    <font>
      <b/>
      <sz val="14"/>
      <color theme="1"/>
      <name val="Calibri"/>
      <family val="2"/>
    </font>
    <font>
      <sz val="9"/>
      <color theme="1"/>
      <name val="Century Gothic"/>
      <family val="2"/>
    </font>
    <font>
      <b/>
      <sz val="14"/>
      <color rgb="FF404040"/>
      <name val="Century Gothic"/>
      <family val="2"/>
    </font>
    <font>
      <b/>
      <sz val="11"/>
      <color rgb="FF404040"/>
      <name val="Century Gothic"/>
      <family val="2"/>
    </font>
    <font>
      <b/>
      <sz val="6"/>
      <color rgb="FF000000"/>
      <name val="Arial"/>
      <family val="2"/>
    </font>
    <font>
      <b/>
      <sz val="5"/>
      <color rgb="FF000000"/>
      <name val="Calibri"/>
      <family val="2"/>
    </font>
    <font>
      <sz val="8"/>
      <color rgb="FF000000"/>
      <name val="Calibri"/>
      <family val="2"/>
    </font>
    <font>
      <sz val="5"/>
      <color rgb="FF000000"/>
      <name val="Calibri"/>
      <family val="2"/>
    </font>
    <font>
      <sz val="6"/>
      <color rgb="FF000000"/>
      <name val="Calibri"/>
      <family val="2"/>
    </font>
    <font>
      <b/>
      <sz val="10"/>
      <color rgb="FF000000"/>
      <name val="Times New Roman"/>
      <family val="1"/>
    </font>
    <font>
      <sz val="7"/>
      <color rgb="FF000000"/>
      <name val="Times New Roman"/>
      <family val="1"/>
    </font>
    <font>
      <sz val="5"/>
      <color rgb="FF000000"/>
      <name val="Times New Roman"/>
      <family val="1"/>
    </font>
    <font>
      <sz val="11"/>
      <color theme="1"/>
      <name val="Aptos Narrow"/>
      <family val="2"/>
    </font>
    <font>
      <sz val="10"/>
      <color theme="1"/>
      <name val="Aptos Narrow"/>
      <family val="2"/>
    </font>
    <font>
      <b/>
      <sz val="10"/>
      <color theme="1"/>
      <name val="Calibri"/>
      <family val="2"/>
    </font>
    <font>
      <b/>
      <sz val="8"/>
      <color theme="1"/>
      <name val="Century Gothic"/>
      <family val="2"/>
    </font>
  </fonts>
  <fills count="18">
    <fill>
      <patternFill patternType="none"/>
    </fill>
    <fill>
      <patternFill patternType="gray125"/>
    </fill>
    <fill>
      <patternFill patternType="solid">
        <fgColor rgb="FF8EAADB"/>
        <bgColor rgb="FF8EAADB"/>
      </patternFill>
    </fill>
    <fill>
      <patternFill patternType="solid">
        <fgColor rgb="FFD8D8D8"/>
        <bgColor rgb="FFD8D8D8"/>
      </patternFill>
    </fill>
    <fill>
      <patternFill patternType="solid">
        <fgColor rgb="FFFBE4D5"/>
        <bgColor rgb="FFFBE4D5"/>
      </patternFill>
    </fill>
    <fill>
      <patternFill patternType="solid">
        <fgColor rgb="FFC5E0B3"/>
        <bgColor rgb="FFC5E0B3"/>
      </patternFill>
    </fill>
    <fill>
      <patternFill patternType="solid">
        <fgColor rgb="FFD32F2F"/>
        <bgColor rgb="FFD32F2F"/>
      </patternFill>
    </fill>
    <fill>
      <patternFill patternType="solid">
        <fgColor theme="0"/>
        <bgColor theme="0"/>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EDEDED"/>
        <bgColor rgb="FFEDEDED"/>
      </patternFill>
    </fill>
    <fill>
      <patternFill patternType="solid">
        <fgColor rgb="FFECECEC"/>
        <bgColor rgb="FFECECEC"/>
      </patternFill>
    </fill>
    <fill>
      <patternFill patternType="solid">
        <fgColor rgb="FFE7E6E6"/>
        <bgColor rgb="FFE7E6E6"/>
      </patternFill>
    </fill>
    <fill>
      <patternFill patternType="solid">
        <fgColor rgb="FFFFFF00"/>
        <bgColor rgb="FFFFFF00"/>
      </patternFill>
    </fill>
    <fill>
      <patternFill patternType="solid">
        <fgColor rgb="FF92D050"/>
        <bgColor rgb="FF92D050"/>
      </patternFill>
    </fill>
    <fill>
      <patternFill patternType="solid">
        <fgColor rgb="FFBFBFBF"/>
        <bgColor rgb="FFBFBFBF"/>
      </patternFill>
    </fill>
    <fill>
      <patternFill patternType="solid">
        <fgColor rgb="FF43A047"/>
        <bgColor rgb="FFD32F2F"/>
      </patternFill>
    </fill>
  </fills>
  <borders count="162">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medium">
        <color rgb="FF000000"/>
      </top>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bottom/>
      <diagonal/>
    </border>
    <border>
      <left style="thin">
        <color rgb="FF000000"/>
      </left>
      <right style="medium">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medium">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style="thin">
        <color rgb="FF000000"/>
      </right>
      <top/>
      <bottom/>
      <diagonal/>
    </border>
    <border>
      <left/>
      <right style="medium">
        <color rgb="FF000000"/>
      </right>
      <top/>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top/>
      <bottom style="medium">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n">
        <color rgb="FF333333"/>
      </right>
      <top style="medium">
        <color rgb="FF000000"/>
      </top>
      <bottom style="thin">
        <color rgb="FF333333"/>
      </bottom>
      <diagonal/>
    </border>
    <border>
      <left style="thin">
        <color rgb="FF333333"/>
      </left>
      <right style="thin">
        <color rgb="FF333333"/>
      </right>
      <top style="medium">
        <color rgb="FF000000"/>
      </top>
      <bottom style="thin">
        <color rgb="FF333333"/>
      </bottom>
      <diagonal/>
    </border>
    <border>
      <left style="thin">
        <color rgb="FF333333"/>
      </left>
      <right style="medium">
        <color rgb="FF000000"/>
      </right>
      <top style="medium">
        <color rgb="FF000000"/>
      </top>
      <bottom style="thin">
        <color rgb="FF333333"/>
      </bottom>
      <diagonal/>
    </border>
    <border>
      <left style="medium">
        <color rgb="FF000000"/>
      </left>
      <right style="thin">
        <color rgb="FF333333"/>
      </right>
      <top style="medium">
        <color rgb="FF000000"/>
      </top>
      <bottom/>
      <diagonal/>
    </border>
    <border>
      <left style="thin">
        <color rgb="FF333333"/>
      </left>
      <right style="medium">
        <color rgb="FF000000"/>
      </right>
      <top style="medium">
        <color rgb="FF000000"/>
      </top>
      <bottom/>
      <diagonal/>
    </border>
    <border>
      <left style="medium">
        <color rgb="FF000000"/>
      </left>
      <right style="thin">
        <color rgb="FF333333"/>
      </right>
      <top style="medium">
        <color rgb="FF000000"/>
      </top>
      <bottom style="medium">
        <color rgb="FF000000"/>
      </bottom>
      <diagonal/>
    </border>
    <border>
      <left style="thin">
        <color rgb="FF333333"/>
      </left>
      <right style="thin">
        <color rgb="FF333333"/>
      </right>
      <top style="medium">
        <color rgb="FF000000"/>
      </top>
      <bottom style="medium">
        <color rgb="FF000000"/>
      </bottom>
      <diagonal/>
    </border>
    <border>
      <left style="thin">
        <color rgb="FF333333"/>
      </left>
      <right style="medium">
        <color rgb="FF000000"/>
      </right>
      <top style="medium">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medium">
        <color rgb="FF000000"/>
      </top>
      <bottom style="medium">
        <color rgb="FF000000"/>
      </bottom>
      <diagonal/>
    </border>
    <border>
      <left style="thin">
        <color rgb="FF000000"/>
      </left>
      <right/>
      <top/>
      <bottom style="thin">
        <color rgb="FF000000"/>
      </bottom>
      <diagonal/>
    </border>
    <border>
      <left style="thin">
        <color rgb="FF333333"/>
      </left>
      <right style="thin">
        <color rgb="FF333333"/>
      </right>
      <top style="thin">
        <color rgb="FF333333"/>
      </top>
      <bottom/>
      <diagonal/>
    </border>
    <border>
      <left style="thin">
        <color rgb="FFCCCCCC"/>
      </left>
      <right style="thin">
        <color rgb="FFCCCCCC"/>
      </right>
      <top/>
      <bottom style="thin">
        <color rgb="FFCCCCCC"/>
      </bottom>
      <diagonal/>
    </border>
    <border>
      <left/>
      <right style="medium">
        <color rgb="FF000000"/>
      </right>
      <top style="medium">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top style="thin">
        <color rgb="FF000000"/>
      </top>
      <bottom/>
      <diagonal/>
    </border>
    <border>
      <left/>
      <right/>
      <top style="thin">
        <color rgb="FF000000"/>
      </top>
      <bottom style="thin">
        <color rgb="FF000000"/>
      </bottom>
      <diagonal/>
    </border>
    <border>
      <left/>
      <right/>
      <top style="thin">
        <color rgb="FF000000"/>
      </top>
      <bottom/>
      <diagonal/>
    </border>
    <border>
      <left/>
      <right style="medium">
        <color rgb="FF000000"/>
      </right>
      <top style="thin">
        <color rgb="FF000000"/>
      </top>
      <bottom/>
      <diagonal/>
    </border>
    <border>
      <left/>
      <right/>
      <top/>
      <bottom/>
      <diagonal/>
    </border>
    <border>
      <left/>
      <right style="thin">
        <color rgb="FF000000"/>
      </right>
      <top style="thin">
        <color rgb="FF000000"/>
      </top>
      <bottom/>
      <diagonal/>
    </border>
    <border>
      <left style="thin">
        <color rgb="FF000000"/>
      </left>
      <right/>
      <top/>
      <bottom/>
      <diagonal/>
    </border>
    <border>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top style="thin">
        <color rgb="FF000000"/>
      </top>
      <bottom/>
      <diagonal/>
    </border>
    <border>
      <left style="thin">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style="thin">
        <color rgb="FF000000"/>
      </right>
      <top/>
      <bottom style="medium">
        <color rgb="FF000000"/>
      </bottom>
      <diagonal/>
    </border>
    <border>
      <left/>
      <right/>
      <top/>
      <bottom style="medium">
        <color rgb="FF000000"/>
      </bottom>
      <diagonal/>
    </border>
    <border>
      <left/>
      <right style="thin">
        <color rgb="FF000000"/>
      </right>
      <top/>
      <bottom/>
      <diagonal/>
    </border>
    <border>
      <left/>
      <right style="thin">
        <color rgb="FF000000"/>
      </right>
      <top style="medium">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bottom style="medium">
        <color rgb="FF000000"/>
      </bottom>
      <diagonal/>
    </border>
    <border>
      <left/>
      <right/>
      <top style="medium">
        <color rgb="FF000000"/>
      </top>
      <bottom/>
      <diagonal/>
    </border>
  </borders>
  <cellStyleXfs count="1">
    <xf numFmtId="0" fontId="0" fillId="0" borderId="0"/>
  </cellStyleXfs>
  <cellXfs count="482">
    <xf numFmtId="0" fontId="0" fillId="0" borderId="0" xfId="0"/>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5" fillId="3" borderId="6" xfId="0" applyFont="1" applyFill="1" applyBorder="1"/>
    <xf numFmtId="0" fontId="6" fillId="4" borderId="7" xfId="0" applyFont="1" applyFill="1" applyBorder="1" applyAlignment="1">
      <alignment horizontal="center"/>
    </xf>
    <xf numFmtId="0" fontId="5" fillId="3" borderId="7" xfId="0" applyFont="1" applyFill="1" applyBorder="1"/>
    <xf numFmtId="0" fontId="7" fillId="4" borderId="7" xfId="0" applyFont="1" applyFill="1" applyBorder="1" applyAlignment="1">
      <alignment horizontal="center"/>
    </xf>
    <xf numFmtId="0" fontId="7" fillId="5" borderId="8" xfId="0" applyFont="1" applyFill="1" applyBorder="1" applyAlignment="1">
      <alignment horizontal="center"/>
    </xf>
    <xf numFmtId="0" fontId="5" fillId="3" borderId="8" xfId="0" applyFont="1" applyFill="1" applyBorder="1"/>
    <xf numFmtId="0" fontId="8" fillId="0" borderId="9" xfId="0" applyFont="1" applyBorder="1"/>
    <xf numFmtId="0" fontId="5" fillId="3" borderId="10" xfId="0" applyFont="1" applyFill="1" applyBorder="1"/>
    <xf numFmtId="0" fontId="8" fillId="4" borderId="11" xfId="0" applyFont="1" applyFill="1" applyBorder="1" applyAlignment="1">
      <alignment horizontal="center" vertical="center"/>
    </xf>
    <xf numFmtId="0" fontId="5" fillId="3" borderId="11" xfId="0" applyFont="1" applyFill="1" applyBorder="1"/>
    <xf numFmtId="0" fontId="8" fillId="4" borderId="12" xfId="0" applyFont="1" applyFill="1" applyBorder="1" applyAlignment="1">
      <alignment horizontal="center" vertical="center"/>
    </xf>
    <xf numFmtId="0" fontId="8" fillId="0" borderId="13" xfId="0" applyFont="1" applyBorder="1"/>
    <xf numFmtId="0" fontId="8" fillId="4" borderId="20" xfId="0" applyFont="1" applyFill="1" applyBorder="1" applyAlignment="1">
      <alignment horizontal="center" vertical="center"/>
    </xf>
    <xf numFmtId="0" fontId="6" fillId="4" borderId="8" xfId="0" applyFont="1" applyFill="1" applyBorder="1" applyAlignment="1">
      <alignment horizontal="center"/>
    </xf>
    <xf numFmtId="0" fontId="5" fillId="3" borderId="22" xfId="0" applyFont="1" applyFill="1" applyBorder="1" applyAlignment="1">
      <alignment wrapText="1"/>
    </xf>
    <xf numFmtId="0" fontId="6" fillId="7" borderId="8" xfId="0" applyFont="1" applyFill="1" applyBorder="1" applyAlignment="1">
      <alignment horizontal="center"/>
    </xf>
    <xf numFmtId="0" fontId="5" fillId="3" borderId="6" xfId="0" applyFont="1" applyFill="1" applyBorder="1" applyAlignment="1">
      <alignment wrapText="1"/>
    </xf>
    <xf numFmtId="0" fontId="8" fillId="0" borderId="23" xfId="0" applyFont="1" applyBorder="1"/>
    <xf numFmtId="0" fontId="5" fillId="3" borderId="22" xfId="0" applyFont="1" applyFill="1" applyBorder="1"/>
    <xf numFmtId="0" fontId="6" fillId="4" borderId="24" xfId="0" applyFont="1" applyFill="1" applyBorder="1" applyAlignment="1">
      <alignment horizontal="center"/>
    </xf>
    <xf numFmtId="0" fontId="6" fillId="7" borderId="24" xfId="0" applyFont="1" applyFill="1" applyBorder="1" applyAlignment="1">
      <alignment horizontal="center"/>
    </xf>
    <xf numFmtId="0" fontId="4" fillId="8" borderId="25" xfId="0" applyFont="1" applyFill="1" applyBorder="1" applyAlignment="1">
      <alignment horizontal="center" vertical="center" wrapText="1"/>
    </xf>
    <xf numFmtId="0" fontId="8" fillId="0" borderId="0" xfId="0" applyFont="1"/>
    <xf numFmtId="0" fontId="6" fillId="4" borderId="26" xfId="0" applyFont="1" applyFill="1" applyBorder="1" applyAlignment="1">
      <alignment horizontal="center" vertical="center"/>
    </xf>
    <xf numFmtId="0" fontId="5" fillId="3" borderId="27" xfId="0" applyFont="1" applyFill="1" applyBorder="1" applyAlignment="1">
      <alignment wrapText="1"/>
    </xf>
    <xf numFmtId="0" fontId="5" fillId="3" borderId="28" xfId="0" applyFont="1" applyFill="1" applyBorder="1"/>
    <xf numFmtId="0" fontId="8" fillId="0" borderId="29" xfId="0" applyFont="1" applyBorder="1" applyAlignment="1">
      <alignment horizontal="center"/>
    </xf>
    <xf numFmtId="0" fontId="5" fillId="3" borderId="30" xfId="0" applyFont="1" applyFill="1" applyBorder="1"/>
    <xf numFmtId="0" fontId="5" fillId="3" borderId="31" xfId="0" applyFont="1" applyFill="1" applyBorder="1"/>
    <xf numFmtId="0" fontId="8" fillId="5" borderId="6" xfId="0" applyFont="1" applyFill="1" applyBorder="1"/>
    <xf numFmtId="0" fontId="8" fillId="0" borderId="32" xfId="0" applyFont="1" applyBorder="1"/>
    <xf numFmtId="0" fontId="5" fillId="3" borderId="33" xfId="0" applyFont="1" applyFill="1" applyBorder="1"/>
    <xf numFmtId="0" fontId="5" fillId="3" borderId="34" xfId="0" applyFont="1" applyFill="1" applyBorder="1"/>
    <xf numFmtId="0" fontId="6" fillId="4" borderId="22" xfId="0" applyFont="1" applyFill="1" applyBorder="1" applyAlignment="1">
      <alignment horizontal="center" vertical="center"/>
    </xf>
    <xf numFmtId="0" fontId="8" fillId="0" borderId="26" xfId="0" applyFont="1" applyBorder="1"/>
    <xf numFmtId="0" fontId="5" fillId="9" borderId="22" xfId="0" applyFont="1" applyFill="1" applyBorder="1" applyAlignment="1">
      <alignment wrapText="1"/>
    </xf>
    <xf numFmtId="0" fontId="8" fillId="8" borderId="35" xfId="0" applyFont="1" applyFill="1" applyBorder="1"/>
    <xf numFmtId="0" fontId="8" fillId="0" borderId="22" xfId="0" applyFont="1" applyBorder="1"/>
    <xf numFmtId="0" fontId="6" fillId="4" borderId="26" xfId="0" applyFont="1" applyFill="1" applyBorder="1" applyAlignment="1">
      <alignment horizontal="center"/>
    </xf>
    <xf numFmtId="0" fontId="4" fillId="0" borderId="10" xfId="0" applyFont="1" applyBorder="1" applyAlignment="1">
      <alignment horizontal="center" vertical="center" wrapText="1"/>
    </xf>
    <xf numFmtId="0" fontId="8" fillId="0" borderId="36" xfId="0" applyFont="1" applyBorder="1"/>
    <xf numFmtId="0" fontId="8" fillId="4" borderId="26" xfId="0" applyFont="1" applyFill="1" applyBorder="1" applyAlignment="1">
      <alignment horizontal="center" vertical="center" wrapText="1"/>
    </xf>
    <xf numFmtId="0" fontId="5" fillId="3" borderId="37" xfId="0" applyFont="1" applyFill="1" applyBorder="1" applyAlignment="1">
      <alignment wrapText="1"/>
    </xf>
    <xf numFmtId="0" fontId="5" fillId="3" borderId="38" xfId="0" applyFont="1" applyFill="1" applyBorder="1"/>
    <xf numFmtId="0" fontId="8" fillId="4" borderId="39" xfId="0" applyFont="1" applyFill="1" applyBorder="1" applyAlignment="1">
      <alignment horizontal="center" vertical="center" wrapText="1"/>
    </xf>
    <xf numFmtId="0" fontId="5" fillId="3" borderId="38" xfId="0" applyFont="1" applyFill="1" applyBorder="1" applyAlignment="1">
      <alignment wrapText="1"/>
    </xf>
    <xf numFmtId="0" fontId="8" fillId="0" borderId="40" xfId="0" applyFont="1" applyBorder="1" applyAlignment="1">
      <alignment horizontal="center"/>
    </xf>
    <xf numFmtId="0" fontId="6" fillId="4" borderId="8" xfId="0" applyFont="1" applyFill="1" applyBorder="1" applyAlignment="1">
      <alignment horizontal="center" vertical="center"/>
    </xf>
    <xf numFmtId="0" fontId="5" fillId="3" borderId="41" xfId="0" applyFont="1" applyFill="1" applyBorder="1"/>
    <xf numFmtId="0" fontId="8" fillId="8" borderId="4" xfId="0" applyFont="1" applyFill="1" applyBorder="1"/>
    <xf numFmtId="0" fontId="5" fillId="3" borderId="42" xfId="0" applyFont="1" applyFill="1" applyBorder="1" applyAlignment="1">
      <alignment wrapText="1"/>
    </xf>
    <xf numFmtId="0" fontId="6" fillId="7" borderId="43" xfId="0" applyFont="1" applyFill="1" applyBorder="1" applyAlignment="1">
      <alignment horizontal="center"/>
    </xf>
    <xf numFmtId="0" fontId="4" fillId="8" borderId="44" xfId="0" applyFont="1" applyFill="1" applyBorder="1" applyAlignment="1">
      <alignment horizontal="center" vertical="center" wrapText="1"/>
    </xf>
    <xf numFmtId="0" fontId="6" fillId="4" borderId="24" xfId="0" applyFont="1" applyFill="1" applyBorder="1" applyAlignment="1">
      <alignment horizontal="center" vertical="center"/>
    </xf>
    <xf numFmtId="0" fontId="5" fillId="3" borderId="13" xfId="0" applyFont="1" applyFill="1" applyBorder="1"/>
    <xf numFmtId="0" fontId="5" fillId="3" borderId="45" xfId="0" applyFont="1" applyFill="1" applyBorder="1" applyAlignment="1">
      <alignment wrapText="1"/>
    </xf>
    <xf numFmtId="0" fontId="6" fillId="7" borderId="44" xfId="0" applyFont="1" applyFill="1" applyBorder="1" applyAlignment="1">
      <alignment horizontal="center"/>
    </xf>
    <xf numFmtId="0" fontId="8" fillId="0" borderId="46" xfId="0" applyFont="1" applyBorder="1" applyAlignment="1">
      <alignment horizontal="center"/>
    </xf>
    <xf numFmtId="0" fontId="5" fillId="3" borderId="47" xfId="0" applyFont="1" applyFill="1" applyBorder="1"/>
    <xf numFmtId="0" fontId="6" fillId="4" borderId="12" xfId="0" applyFont="1" applyFill="1" applyBorder="1" applyAlignment="1">
      <alignment horizontal="center" vertical="center"/>
    </xf>
    <xf numFmtId="0" fontId="5" fillId="3" borderId="48" xfId="0" applyFont="1" applyFill="1" applyBorder="1"/>
    <xf numFmtId="0" fontId="8" fillId="8" borderId="49" xfId="0" applyFont="1" applyFill="1" applyBorder="1"/>
    <xf numFmtId="0" fontId="5" fillId="3" borderId="50" xfId="0" applyFont="1" applyFill="1" applyBorder="1" applyAlignment="1">
      <alignment wrapText="1"/>
    </xf>
    <xf numFmtId="0" fontId="8" fillId="0" borderId="19" xfId="0" applyFont="1" applyBorder="1" applyAlignment="1">
      <alignment horizontal="center"/>
    </xf>
    <xf numFmtId="0" fontId="4" fillId="0" borderId="51" xfId="0" applyFont="1" applyBorder="1" applyAlignment="1">
      <alignment horizontal="center" vertical="center" wrapText="1"/>
    </xf>
    <xf numFmtId="0" fontId="4" fillId="8" borderId="55" xfId="0" applyFont="1" applyFill="1" applyBorder="1" applyAlignment="1">
      <alignment horizontal="center" vertical="center" wrapText="1"/>
    </xf>
    <xf numFmtId="0" fontId="6" fillId="4" borderId="32" xfId="0" applyFont="1" applyFill="1" applyBorder="1" applyAlignment="1">
      <alignment horizontal="center" vertical="center"/>
    </xf>
    <xf numFmtId="0" fontId="5" fillId="3" borderId="41" xfId="0" applyFont="1" applyFill="1" applyBorder="1" applyAlignment="1">
      <alignment wrapText="1"/>
    </xf>
    <xf numFmtId="0" fontId="8" fillId="0" borderId="56" xfId="0" applyFont="1" applyBorder="1" applyAlignment="1">
      <alignment horizontal="center" vertical="center"/>
    </xf>
    <xf numFmtId="0" fontId="5" fillId="3" borderId="57" xfId="0" applyFont="1" applyFill="1" applyBorder="1" applyAlignment="1">
      <alignment wrapText="1"/>
    </xf>
    <xf numFmtId="0" fontId="8" fillId="4" borderId="26" xfId="0" applyFont="1" applyFill="1" applyBorder="1"/>
    <xf numFmtId="0" fontId="8" fillId="0" borderId="29" xfId="0" applyFont="1" applyBorder="1" applyAlignment="1">
      <alignment horizontal="center" vertical="center"/>
    </xf>
    <xf numFmtId="0" fontId="8" fillId="4" borderId="36" xfId="0" applyFont="1" applyFill="1" applyBorder="1"/>
    <xf numFmtId="0" fontId="5" fillId="3" borderId="10" xfId="0" applyFont="1" applyFill="1" applyBorder="1" applyAlignment="1">
      <alignment wrapText="1"/>
    </xf>
    <xf numFmtId="0" fontId="8" fillId="0" borderId="58" xfId="0" applyFont="1" applyBorder="1" applyAlignment="1">
      <alignment horizontal="center" vertical="center"/>
    </xf>
    <xf numFmtId="0" fontId="6" fillId="4" borderId="59" xfId="0" applyFont="1" applyFill="1" applyBorder="1" applyAlignment="1">
      <alignment horizontal="center" vertical="center"/>
    </xf>
    <xf numFmtId="0" fontId="5" fillId="3" borderId="45" xfId="0" applyFont="1" applyFill="1" applyBorder="1"/>
    <xf numFmtId="0" fontId="5" fillId="3" borderId="60" xfId="0" applyFont="1" applyFill="1" applyBorder="1" applyAlignment="1">
      <alignment wrapText="1"/>
    </xf>
    <xf numFmtId="0" fontId="5" fillId="3" borderId="24" xfId="0" applyFont="1" applyFill="1" applyBorder="1"/>
    <xf numFmtId="0" fontId="6" fillId="4" borderId="61" xfId="0" applyFont="1" applyFill="1" applyBorder="1" applyAlignment="1">
      <alignment horizontal="center" vertical="center"/>
    </xf>
    <xf numFmtId="0" fontId="5" fillId="3" borderId="12" xfId="0" applyFont="1" applyFill="1" applyBorder="1"/>
    <xf numFmtId="0" fontId="5" fillId="3" borderId="57" xfId="0" applyFont="1" applyFill="1" applyBorder="1"/>
    <xf numFmtId="0" fontId="8" fillId="5" borderId="26" xfId="0" applyFont="1" applyFill="1" applyBorder="1" applyAlignment="1">
      <alignment horizontal="center" vertical="center"/>
    </xf>
    <xf numFmtId="0" fontId="5" fillId="3" borderId="62" xfId="0" applyFont="1" applyFill="1" applyBorder="1" applyAlignment="1">
      <alignment wrapText="1"/>
    </xf>
    <xf numFmtId="0" fontId="5" fillId="3" borderId="62" xfId="0" applyFont="1" applyFill="1" applyBorder="1"/>
    <xf numFmtId="0" fontId="8" fillId="5" borderId="24" xfId="0" applyFont="1" applyFill="1" applyBorder="1" applyAlignment="1">
      <alignment horizontal="center" vertical="center"/>
    </xf>
    <xf numFmtId="0" fontId="5" fillId="3" borderId="63" xfId="0" applyFont="1" applyFill="1" applyBorder="1" applyAlignment="1">
      <alignment wrapText="1"/>
    </xf>
    <xf numFmtId="0" fontId="5" fillId="3" borderId="63" xfId="0" applyFont="1" applyFill="1" applyBorder="1"/>
    <xf numFmtId="0" fontId="6" fillId="4" borderId="64" xfId="0" applyFont="1" applyFill="1" applyBorder="1" applyAlignment="1">
      <alignment horizontal="center" vertical="center"/>
    </xf>
    <xf numFmtId="0" fontId="8" fillId="0" borderId="40" xfId="0" applyFont="1" applyBorder="1" applyAlignment="1">
      <alignment horizontal="center" vertical="center"/>
    </xf>
    <xf numFmtId="0" fontId="5" fillId="3" borderId="65" xfId="0" applyFont="1" applyFill="1" applyBorder="1"/>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66" xfId="0" applyFont="1" applyBorder="1" applyAlignment="1">
      <alignment horizontal="center" vertical="center" wrapText="1"/>
    </xf>
    <xf numFmtId="0" fontId="8" fillId="0" borderId="29" xfId="0" applyFont="1" applyBorder="1" applyAlignment="1">
      <alignment horizontal="center" vertical="center" wrapText="1"/>
    </xf>
    <xf numFmtId="0" fontId="5" fillId="3" borderId="22" xfId="0" applyFont="1" applyFill="1" applyBorder="1" applyAlignment="1">
      <alignment horizontal="center" vertical="center" wrapText="1"/>
    </xf>
    <xf numFmtId="0" fontId="5" fillId="3" borderId="66" xfId="0" applyFont="1" applyFill="1" applyBorder="1" applyAlignment="1">
      <alignment horizontal="center" vertical="center" wrapText="1"/>
    </xf>
    <xf numFmtId="0" fontId="5" fillId="3" borderId="24" xfId="0" applyFont="1" applyFill="1" applyBorder="1" applyAlignment="1">
      <alignment horizontal="center" vertical="center" wrapText="1"/>
    </xf>
    <xf numFmtId="0" fontId="5" fillId="3" borderId="63"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8" fillId="0" borderId="67" xfId="0" applyFont="1" applyBorder="1" applyAlignment="1">
      <alignment horizontal="center" vertical="center" wrapText="1"/>
    </xf>
    <xf numFmtId="0" fontId="8" fillId="0" borderId="68" xfId="0" applyFont="1" applyBorder="1" applyAlignment="1">
      <alignment horizontal="center" vertical="center" wrapText="1"/>
    </xf>
    <xf numFmtId="0" fontId="8" fillId="0" borderId="69" xfId="0" applyFont="1" applyBorder="1" applyAlignment="1">
      <alignment horizontal="center" vertical="center" wrapText="1"/>
    </xf>
    <xf numFmtId="0" fontId="4" fillId="8" borderId="70" xfId="0" applyFont="1" applyFill="1" applyBorder="1" applyAlignment="1">
      <alignment horizontal="center" vertical="center" wrapText="1"/>
    </xf>
    <xf numFmtId="0" fontId="4" fillId="8" borderId="71" xfId="0" applyFont="1" applyFill="1" applyBorder="1" applyAlignment="1">
      <alignment horizontal="center" vertical="center" wrapText="1"/>
    </xf>
    <xf numFmtId="0" fontId="4" fillId="8" borderId="72" xfId="0" applyFont="1" applyFill="1" applyBorder="1" applyAlignment="1">
      <alignment horizontal="center" vertical="center" wrapText="1"/>
    </xf>
    <xf numFmtId="0" fontId="8" fillId="0" borderId="73" xfId="0" applyFont="1" applyBorder="1"/>
    <xf numFmtId="0" fontId="4" fillId="3" borderId="55" xfId="0" applyFont="1" applyFill="1" applyBorder="1" applyAlignment="1">
      <alignment horizontal="center" vertical="center" wrapText="1"/>
    </xf>
    <xf numFmtId="0" fontId="8" fillId="0" borderId="32" xfId="0" applyFont="1" applyBorder="1" applyAlignment="1">
      <alignment horizontal="center" vertical="center"/>
    </xf>
    <xf numFmtId="0" fontId="8" fillId="0" borderId="26" xfId="0" applyFont="1" applyBorder="1" applyAlignment="1">
      <alignment horizontal="center" vertical="center"/>
    </xf>
    <xf numFmtId="0" fontId="5" fillId="3" borderId="33" xfId="0" applyFont="1" applyFill="1" applyBorder="1" applyAlignment="1">
      <alignment wrapText="1"/>
    </xf>
    <xf numFmtId="0" fontId="6" fillId="7" borderId="36" xfId="0" applyFont="1" applyFill="1" applyBorder="1" applyAlignment="1">
      <alignment horizontal="center"/>
    </xf>
    <xf numFmtId="0" fontId="8" fillId="0" borderId="36" xfId="0" applyFont="1" applyBorder="1" applyAlignment="1">
      <alignment horizontal="center" vertical="center"/>
    </xf>
    <xf numFmtId="0" fontId="10" fillId="0" borderId="0" xfId="0" applyFont="1"/>
    <xf numFmtId="0" fontId="11" fillId="0" borderId="0" xfId="0" applyFont="1"/>
    <xf numFmtId="0" fontId="8" fillId="0" borderId="0" xfId="0" applyFont="1" applyAlignment="1">
      <alignment wrapText="1"/>
    </xf>
    <xf numFmtId="0" fontId="5" fillId="3" borderId="65" xfId="0" applyFont="1" applyFill="1" applyBorder="1" applyAlignment="1">
      <alignment horizontal="center" vertical="center" wrapText="1"/>
    </xf>
    <xf numFmtId="0" fontId="5" fillId="3" borderId="74" xfId="0" applyFont="1" applyFill="1" applyBorder="1" applyAlignment="1">
      <alignment horizontal="center" vertical="center" wrapText="1"/>
    </xf>
    <xf numFmtId="0" fontId="5" fillId="3" borderId="75" xfId="0" applyFont="1" applyFill="1" applyBorder="1" applyAlignment="1">
      <alignment horizontal="center" vertical="center" wrapText="1"/>
    </xf>
    <xf numFmtId="0" fontId="5" fillId="3" borderId="41" xfId="0" applyFont="1" applyFill="1" applyBorder="1" applyAlignment="1">
      <alignment horizontal="center" vertical="center" wrapText="1"/>
    </xf>
    <xf numFmtId="0" fontId="6" fillId="4" borderId="41" xfId="0" applyFont="1" applyFill="1" applyBorder="1" applyAlignment="1">
      <alignment horizontal="center" vertical="center" wrapText="1"/>
    </xf>
    <xf numFmtId="0" fontId="6" fillId="5" borderId="32"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5" borderId="26" xfId="0" applyFont="1" applyFill="1" applyBorder="1" applyAlignment="1">
      <alignment horizontal="center" vertical="center" wrapText="1"/>
    </xf>
    <xf numFmtId="0" fontId="12" fillId="4" borderId="13" xfId="0" applyFont="1" applyFill="1" applyBorder="1" applyAlignment="1">
      <alignment horizontal="center" vertical="center" wrapText="1"/>
    </xf>
    <xf numFmtId="0" fontId="12" fillId="5" borderId="26" xfId="0" applyFont="1" applyFill="1" applyBorder="1" applyAlignment="1">
      <alignment horizontal="center" vertical="center" wrapText="1"/>
    </xf>
    <xf numFmtId="0" fontId="5" fillId="3" borderId="48"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5" borderId="36" xfId="0" applyFont="1" applyFill="1" applyBorder="1" applyAlignment="1">
      <alignment horizontal="center" vertical="center" wrapText="1"/>
    </xf>
    <xf numFmtId="0" fontId="6" fillId="4" borderId="32" xfId="0" applyFont="1" applyFill="1" applyBorder="1" applyAlignment="1">
      <alignment horizontal="center" vertical="center" wrapText="1"/>
    </xf>
    <xf numFmtId="0" fontId="6" fillId="4" borderId="26"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5" fillId="3" borderId="79" xfId="0" applyFont="1" applyFill="1" applyBorder="1" applyAlignment="1">
      <alignment horizontal="center" vertical="center" wrapText="1"/>
    </xf>
    <xf numFmtId="0" fontId="6" fillId="5" borderId="80" xfId="0" applyFont="1" applyFill="1" applyBorder="1" applyAlignment="1">
      <alignment horizontal="center" vertical="center" wrapText="1"/>
    </xf>
    <xf numFmtId="0" fontId="5" fillId="3" borderId="47"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5" fillId="3" borderId="34" xfId="0" applyFont="1" applyFill="1" applyBorder="1" applyAlignment="1">
      <alignment horizontal="center" vertical="center" wrapText="1"/>
    </xf>
    <xf numFmtId="0" fontId="6" fillId="5" borderId="82" xfId="0" applyFont="1" applyFill="1" applyBorder="1" applyAlignment="1">
      <alignment horizontal="center" vertical="center" wrapText="1"/>
    </xf>
    <xf numFmtId="0" fontId="8" fillId="0" borderId="66" xfId="0" applyFont="1" applyBorder="1" applyAlignment="1">
      <alignment horizontal="center" vertical="center"/>
    </xf>
    <xf numFmtId="0" fontId="13" fillId="0" borderId="0" xfId="0" applyFont="1" applyAlignment="1">
      <alignment wrapText="1"/>
    </xf>
    <xf numFmtId="0" fontId="14" fillId="0" borderId="0" xfId="0" applyFont="1" applyAlignment="1">
      <alignment horizontal="left" vertical="center"/>
    </xf>
    <xf numFmtId="0" fontId="14" fillId="0" borderId="0" xfId="0" applyFont="1" applyAlignment="1">
      <alignment wrapText="1"/>
    </xf>
    <xf numFmtId="0" fontId="13" fillId="0" borderId="0" xfId="0" applyFont="1"/>
    <xf numFmtId="0" fontId="8" fillId="0" borderId="83" xfId="0" applyFont="1" applyBorder="1"/>
    <xf numFmtId="0" fontId="8" fillId="0" borderId="46" xfId="0" applyFont="1" applyBorder="1"/>
    <xf numFmtId="0" fontId="8" fillId="0" borderId="17" xfId="0" applyFont="1" applyBorder="1"/>
    <xf numFmtId="0" fontId="8" fillId="0" borderId="18" xfId="0" applyFont="1" applyBorder="1"/>
    <xf numFmtId="0" fontId="8" fillId="0" borderId="19" xfId="0" applyFont="1" applyBorder="1"/>
    <xf numFmtId="0" fontId="5" fillId="3" borderId="66" xfId="0" applyFont="1" applyFill="1" applyBorder="1"/>
    <xf numFmtId="0" fontId="15" fillId="11" borderId="6"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8" fillId="12" borderId="6" xfId="0" applyFont="1" applyFill="1" applyBorder="1" applyAlignment="1">
      <alignment vertical="center" wrapText="1"/>
    </xf>
    <xf numFmtId="0" fontId="8" fillId="8" borderId="32" xfId="0" applyFont="1" applyFill="1" applyBorder="1" applyAlignment="1">
      <alignment vertical="center" wrapText="1"/>
    </xf>
    <xf numFmtId="0" fontId="8" fillId="13" borderId="5" xfId="0" applyFont="1" applyFill="1" applyBorder="1"/>
    <xf numFmtId="0" fontId="16" fillId="0" borderId="22" xfId="0" applyFont="1" applyBorder="1" applyAlignment="1">
      <alignment horizontal="center" vertical="center" wrapText="1"/>
    </xf>
    <xf numFmtId="3" fontId="16" fillId="0" borderId="66" xfId="0" applyNumberFormat="1" applyFont="1" applyBorder="1" applyAlignment="1">
      <alignment horizontal="center" vertical="center" shrinkToFit="1"/>
    </xf>
    <xf numFmtId="0" fontId="16" fillId="0" borderId="26" xfId="0" applyFont="1" applyBorder="1" applyAlignment="1">
      <alignment horizontal="center" vertical="center" wrapText="1"/>
    </xf>
    <xf numFmtId="0" fontId="8" fillId="12" borderId="22" xfId="0" applyFont="1" applyFill="1" applyBorder="1" applyAlignment="1">
      <alignment vertical="center" wrapText="1"/>
    </xf>
    <xf numFmtId="0" fontId="8" fillId="8" borderId="26" xfId="0" applyFont="1" applyFill="1" applyBorder="1" applyAlignment="1">
      <alignment vertical="center" wrapText="1"/>
    </xf>
    <xf numFmtId="0" fontId="8" fillId="0" borderId="84" xfId="0" applyFont="1" applyBorder="1" applyAlignment="1">
      <alignment wrapText="1"/>
    </xf>
    <xf numFmtId="3" fontId="16" fillId="0" borderId="26" xfId="0" applyNumberFormat="1" applyFont="1" applyBorder="1" applyAlignment="1">
      <alignment horizontal="center" vertical="center" shrinkToFit="1"/>
    </xf>
    <xf numFmtId="0" fontId="8" fillId="12" borderId="10" xfId="0" applyFont="1" applyFill="1" applyBorder="1" applyAlignment="1">
      <alignment vertical="center" wrapText="1"/>
    </xf>
    <xf numFmtId="3" fontId="8" fillId="8" borderId="36" xfId="0" applyNumberFormat="1" applyFont="1" applyFill="1" applyBorder="1" applyAlignment="1">
      <alignment vertical="center" wrapText="1"/>
    </xf>
    <xf numFmtId="1" fontId="16" fillId="0" borderId="66" xfId="0" applyNumberFormat="1" applyFont="1" applyBorder="1" applyAlignment="1">
      <alignment horizontal="center" vertical="center" shrinkToFit="1"/>
    </xf>
    <xf numFmtId="0" fontId="16" fillId="0" borderId="66"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1" xfId="0" applyFont="1" applyBorder="1" applyAlignment="1">
      <alignment horizontal="center" vertical="center" wrapText="1"/>
    </xf>
    <xf numFmtId="3" fontId="16" fillId="0" borderId="36" xfId="0" applyNumberFormat="1" applyFont="1" applyBorder="1" applyAlignment="1">
      <alignment horizontal="center" vertical="center" shrinkToFit="1"/>
    </xf>
    <xf numFmtId="0" fontId="8" fillId="13" borderId="65" xfId="0" applyFont="1" applyFill="1" applyBorder="1"/>
    <xf numFmtId="0" fontId="8" fillId="13" borderId="74" xfId="0" applyFont="1" applyFill="1" applyBorder="1"/>
    <xf numFmtId="0" fontId="8" fillId="13" borderId="75" xfId="0" applyFont="1" applyFill="1" applyBorder="1"/>
    <xf numFmtId="0" fontId="8" fillId="0" borderId="85" xfId="0" applyFont="1" applyBorder="1"/>
    <xf numFmtId="0" fontId="8" fillId="0" borderId="86" xfId="0" applyFont="1" applyBorder="1"/>
    <xf numFmtId="0" fontId="8" fillId="0" borderId="87" xfId="0" applyFont="1" applyBorder="1"/>
    <xf numFmtId="0" fontId="8" fillId="0" borderId="88" xfId="0" applyFont="1" applyBorder="1"/>
    <xf numFmtId="0" fontId="8" fillId="0" borderId="89" xfId="0" applyFont="1" applyBorder="1"/>
    <xf numFmtId="0" fontId="8" fillId="0" borderId="66" xfId="0" applyFont="1" applyBorder="1"/>
    <xf numFmtId="0" fontId="8" fillId="13" borderId="60" xfId="0" applyFont="1" applyFill="1" applyBorder="1"/>
    <xf numFmtId="0" fontId="8" fillId="0" borderId="88" xfId="0" applyFont="1" applyBorder="1" applyAlignment="1">
      <alignment wrapText="1"/>
    </xf>
    <xf numFmtId="0" fontId="8" fillId="14" borderId="60" xfId="0" applyFont="1" applyFill="1" applyBorder="1"/>
    <xf numFmtId="0" fontId="8" fillId="0" borderId="90" xfId="0" applyFont="1" applyBorder="1"/>
    <xf numFmtId="0" fontId="8" fillId="0" borderId="91" xfId="0" applyFont="1" applyBorder="1"/>
    <xf numFmtId="0" fontId="8" fillId="14" borderId="66" xfId="0" applyFont="1" applyFill="1" applyBorder="1"/>
    <xf numFmtId="0" fontId="8" fillId="0" borderId="67" xfId="0" applyFont="1" applyBorder="1"/>
    <xf numFmtId="0" fontId="8" fillId="0" borderId="68" xfId="0" applyFont="1" applyBorder="1"/>
    <xf numFmtId="0" fontId="8" fillId="0" borderId="6" xfId="0" applyFont="1" applyBorder="1"/>
    <xf numFmtId="0" fontId="8" fillId="0" borderId="7" xfId="0" applyFont="1" applyBorder="1"/>
    <xf numFmtId="0" fontId="8" fillId="0" borderId="11" xfId="0" applyFont="1" applyBorder="1"/>
    <xf numFmtId="0" fontId="8" fillId="0" borderId="92" xfId="0" applyFont="1" applyBorder="1"/>
    <xf numFmtId="0" fontId="8" fillId="11" borderId="6" xfId="0" applyFont="1" applyFill="1" applyBorder="1" applyAlignment="1">
      <alignment vertical="top"/>
    </xf>
    <xf numFmtId="0" fontId="15" fillId="11" borderId="7" xfId="0" applyFont="1" applyFill="1" applyBorder="1" applyAlignment="1">
      <alignment vertical="top"/>
    </xf>
    <xf numFmtId="0" fontId="15" fillId="11" borderId="32" xfId="0" applyFont="1" applyFill="1" applyBorder="1" applyAlignment="1">
      <alignment vertical="top"/>
    </xf>
    <xf numFmtId="0" fontId="15" fillId="11" borderId="22" xfId="0" applyFont="1" applyFill="1" applyBorder="1" applyAlignment="1">
      <alignment vertical="top" wrapText="1"/>
    </xf>
    <xf numFmtId="0" fontId="15" fillId="11" borderId="66" xfId="0" applyFont="1" applyFill="1" applyBorder="1" applyAlignment="1">
      <alignment vertical="top"/>
    </xf>
    <xf numFmtId="0" fontId="15" fillId="11" borderId="26" xfId="0" applyFont="1" applyFill="1" applyBorder="1" applyAlignment="1">
      <alignment vertical="top"/>
    </xf>
    <xf numFmtId="0" fontId="16" fillId="0" borderId="22" xfId="0" applyFont="1" applyBorder="1" applyAlignment="1">
      <alignment vertical="top"/>
    </xf>
    <xf numFmtId="0" fontId="16" fillId="0" borderId="66" xfId="0" applyFont="1" applyBorder="1" applyAlignment="1">
      <alignment vertical="top"/>
    </xf>
    <xf numFmtId="0" fontId="16" fillId="0" borderId="26" xfId="0" applyFont="1" applyBorder="1" applyAlignment="1">
      <alignment vertical="top"/>
    </xf>
    <xf numFmtId="0" fontId="16" fillId="0" borderId="10" xfId="0" applyFont="1" applyBorder="1" applyAlignment="1">
      <alignment vertical="top"/>
    </xf>
    <xf numFmtId="0" fontId="16" fillId="0" borderId="11" xfId="0" applyFont="1" applyBorder="1" applyAlignment="1">
      <alignment vertical="top"/>
    </xf>
    <xf numFmtId="0" fontId="16" fillId="0" borderId="36" xfId="0" applyFont="1" applyBorder="1" applyAlignment="1">
      <alignment vertical="top"/>
    </xf>
    <xf numFmtId="0" fontId="8" fillId="13" borderId="42" xfId="0" applyFont="1" applyFill="1" applyBorder="1"/>
    <xf numFmtId="0" fontId="8" fillId="13" borderId="93" xfId="0" applyFont="1" applyFill="1" applyBorder="1"/>
    <xf numFmtId="0" fontId="8" fillId="13" borderId="94" xfId="0" applyFont="1" applyFill="1" applyBorder="1"/>
    <xf numFmtId="0" fontId="8" fillId="0" borderId="69" xfId="0" applyFont="1" applyBorder="1"/>
    <xf numFmtId="0" fontId="8" fillId="0" borderId="10" xfId="0" applyFont="1" applyBorder="1"/>
    <xf numFmtId="0" fontId="8" fillId="15" borderId="55" xfId="0" applyFont="1" applyFill="1" applyBorder="1" applyAlignment="1">
      <alignment wrapText="1"/>
    </xf>
    <xf numFmtId="0" fontId="8" fillId="15" borderId="5" xfId="0" applyFont="1" applyFill="1" applyBorder="1" applyAlignment="1">
      <alignment wrapText="1"/>
    </xf>
    <xf numFmtId="0" fontId="8" fillId="0" borderId="95" xfId="0" applyFont="1" applyBorder="1" applyAlignment="1">
      <alignment wrapText="1"/>
    </xf>
    <xf numFmtId="0" fontId="17" fillId="0" borderId="84" xfId="0" applyFont="1" applyBorder="1" applyAlignment="1">
      <alignment wrapText="1"/>
    </xf>
    <xf numFmtId="0" fontId="8" fillId="7" borderId="35" xfId="0" applyFont="1" applyFill="1" applyBorder="1"/>
    <xf numFmtId="0" fontId="8" fillId="0" borderId="84" xfId="0" applyFont="1" applyBorder="1"/>
    <xf numFmtId="0" fontId="8" fillId="13" borderId="5" xfId="0" applyFont="1" applyFill="1" applyBorder="1" applyAlignment="1">
      <alignment horizontal="left"/>
    </xf>
    <xf numFmtId="0" fontId="8" fillId="0" borderId="85" xfId="0" applyFont="1" applyBorder="1" applyAlignment="1">
      <alignment horizontal="center" vertical="center"/>
    </xf>
    <xf numFmtId="0" fontId="8" fillId="0" borderId="86" xfId="0" applyFont="1" applyBorder="1" applyAlignment="1">
      <alignment horizontal="center" vertical="center"/>
    </xf>
    <xf numFmtId="0" fontId="8" fillId="0" borderId="87" xfId="0" applyFont="1" applyBorder="1" applyAlignment="1">
      <alignment horizontal="center" vertical="center"/>
    </xf>
    <xf numFmtId="0" fontId="8" fillId="0" borderId="22" xfId="0" applyFont="1" applyBorder="1" applyAlignment="1">
      <alignment horizontal="center" vertical="center"/>
    </xf>
    <xf numFmtId="0" fontId="8" fillId="0" borderId="10" xfId="0" applyFont="1" applyBorder="1" applyAlignment="1">
      <alignment horizontal="center" vertical="center"/>
    </xf>
    <xf numFmtId="0" fontId="8" fillId="0" borderId="11" xfId="0" applyFont="1" applyBorder="1" applyAlignment="1">
      <alignment horizontal="center" vertical="center"/>
    </xf>
    <xf numFmtId="0" fontId="8" fillId="0" borderId="7" xfId="0" applyFont="1" applyBorder="1" applyAlignment="1">
      <alignment horizontal="center" vertical="center"/>
    </xf>
    <xf numFmtId="0" fontId="8" fillId="0" borderId="7" xfId="0" applyFont="1" applyBorder="1" applyAlignment="1">
      <alignment horizontal="left" vertical="center"/>
    </xf>
    <xf numFmtId="0" fontId="8" fillId="0" borderId="32" xfId="0" applyFont="1" applyBorder="1" applyAlignment="1">
      <alignment horizontal="left"/>
    </xf>
    <xf numFmtId="0" fontId="8" fillId="0" borderId="66" xfId="0" applyFont="1" applyBorder="1" applyAlignment="1">
      <alignment horizontal="left"/>
    </xf>
    <xf numFmtId="0" fontId="8" fillId="0" borderId="26" xfId="0" applyFont="1" applyBorder="1" applyAlignment="1">
      <alignment horizontal="left"/>
    </xf>
    <xf numFmtId="0" fontId="8" fillId="0" borderId="87" xfId="0" applyFont="1" applyBorder="1" applyAlignment="1">
      <alignment horizontal="left"/>
    </xf>
    <xf numFmtId="0" fontId="8" fillId="0" borderId="11" xfId="0" applyFont="1" applyBorder="1" applyAlignment="1">
      <alignment horizontal="left"/>
    </xf>
    <xf numFmtId="0" fontId="15" fillId="11" borderId="35" xfId="0" applyFont="1" applyFill="1" applyBorder="1" applyAlignment="1">
      <alignment horizontal="center" vertical="center" wrapText="1"/>
    </xf>
    <xf numFmtId="0" fontId="8" fillId="14" borderId="35" xfId="0" applyFont="1" applyFill="1" applyBorder="1" applyAlignment="1">
      <alignment wrapText="1"/>
    </xf>
    <xf numFmtId="0" fontId="8" fillId="13" borderId="55" xfId="0" applyFont="1" applyFill="1" applyBorder="1"/>
    <xf numFmtId="0" fontId="8" fillId="13" borderId="6" xfId="0" applyFont="1" applyFill="1" applyBorder="1"/>
    <xf numFmtId="0" fontId="8" fillId="13" borderId="32" xfId="0" applyFont="1" applyFill="1" applyBorder="1"/>
    <xf numFmtId="0" fontId="8" fillId="0" borderId="41" xfId="0" applyFont="1" applyBorder="1" applyAlignment="1">
      <alignment wrapText="1"/>
    </xf>
    <xf numFmtId="0" fontId="8" fillId="0" borderId="22" xfId="0" applyFont="1" applyBorder="1" applyAlignment="1">
      <alignment horizontal="left"/>
    </xf>
    <xf numFmtId="0" fontId="8" fillId="0" borderId="48" xfId="0" applyFont="1" applyBorder="1" applyAlignment="1">
      <alignment wrapText="1"/>
    </xf>
    <xf numFmtId="0" fontId="8" fillId="13" borderId="55" xfId="0" applyFont="1" applyFill="1" applyBorder="1" applyAlignment="1">
      <alignment horizontal="left"/>
    </xf>
    <xf numFmtId="0" fontId="18" fillId="11" borderId="96" xfId="0" applyFont="1" applyFill="1" applyBorder="1" applyAlignment="1">
      <alignment vertical="top"/>
    </xf>
    <xf numFmtId="0" fontId="18" fillId="11" borderId="97" xfId="0" applyFont="1" applyFill="1" applyBorder="1" applyAlignment="1">
      <alignment vertical="top"/>
    </xf>
    <xf numFmtId="0" fontId="18" fillId="11" borderId="98" xfId="0" applyFont="1" applyFill="1" applyBorder="1" applyAlignment="1">
      <alignment vertical="top"/>
    </xf>
    <xf numFmtId="0" fontId="18" fillId="11" borderId="99" xfId="0" applyFont="1" applyFill="1" applyBorder="1" applyAlignment="1">
      <alignment horizontal="left" vertical="top"/>
    </xf>
    <xf numFmtId="0" fontId="18" fillId="11" borderId="100" xfId="0" applyFont="1" applyFill="1" applyBorder="1" applyAlignment="1">
      <alignment horizontal="left" vertical="top"/>
    </xf>
    <xf numFmtId="0" fontId="18" fillId="11" borderId="5" xfId="0" applyFont="1" applyFill="1" applyBorder="1" applyAlignment="1">
      <alignment horizontal="left" vertical="top"/>
    </xf>
    <xf numFmtId="0" fontId="18" fillId="11" borderId="101" xfId="0" applyFont="1" applyFill="1" applyBorder="1" applyAlignment="1">
      <alignment vertical="top"/>
    </xf>
    <xf numFmtId="0" fontId="15" fillId="11" borderId="102" xfId="0" applyFont="1" applyFill="1" applyBorder="1" applyAlignment="1">
      <alignment vertical="top"/>
    </xf>
    <xf numFmtId="0" fontId="15" fillId="11" borderId="103" xfId="0" applyFont="1" applyFill="1" applyBorder="1" applyAlignment="1">
      <alignment vertical="top"/>
    </xf>
    <xf numFmtId="0" fontId="8" fillId="0" borderId="5" xfId="0" applyFont="1" applyBorder="1" applyAlignment="1">
      <alignment wrapText="1"/>
    </xf>
    <xf numFmtId="0" fontId="15" fillId="11" borderId="101" xfId="0" applyFont="1" applyFill="1" applyBorder="1" applyAlignment="1">
      <alignment vertical="top"/>
    </xf>
    <xf numFmtId="0" fontId="18" fillId="11" borderId="102" xfId="0" applyFont="1" applyFill="1" applyBorder="1" applyAlignment="1">
      <alignment vertical="top"/>
    </xf>
    <xf numFmtId="0" fontId="18" fillId="11" borderId="103" xfId="0" applyFont="1" applyFill="1" applyBorder="1" applyAlignment="1">
      <alignment vertical="top"/>
    </xf>
    <xf numFmtId="0" fontId="8" fillId="0" borderId="104" xfId="0" applyFont="1" applyBorder="1" applyAlignment="1">
      <alignment vertical="center"/>
    </xf>
    <xf numFmtId="0" fontId="8" fillId="0" borderId="105" xfId="0" applyFont="1" applyBorder="1" applyAlignment="1">
      <alignment vertical="center"/>
    </xf>
    <xf numFmtId="0" fontId="8" fillId="0" borderId="0" xfId="0" applyFont="1" applyAlignment="1">
      <alignment horizontal="left"/>
    </xf>
    <xf numFmtId="0" fontId="18" fillId="11" borderId="55" xfId="0" applyFont="1" applyFill="1" applyBorder="1" applyAlignment="1">
      <alignment horizontal="left" vertical="top"/>
    </xf>
    <xf numFmtId="0" fontId="8" fillId="0" borderId="66" xfId="0" applyFont="1" applyBorder="1" applyAlignment="1">
      <alignment wrapText="1"/>
    </xf>
    <xf numFmtId="0" fontId="8" fillId="0" borderId="106" xfId="0" applyFont="1" applyBorder="1" applyAlignment="1">
      <alignment vertical="center"/>
    </xf>
    <xf numFmtId="0" fontId="8" fillId="15" borderId="35" xfId="0" applyFont="1" applyFill="1" applyBorder="1"/>
    <xf numFmtId="0" fontId="18" fillId="11" borderId="103" xfId="0" applyFont="1" applyFill="1" applyBorder="1" applyAlignment="1">
      <alignment horizontal="left" vertical="top"/>
    </xf>
    <xf numFmtId="0" fontId="8" fillId="0" borderId="9" xfId="0" applyFont="1" applyBorder="1" applyAlignment="1">
      <alignment wrapText="1"/>
    </xf>
    <xf numFmtId="0" fontId="8" fillId="14" borderId="6" xfId="0" applyFont="1" applyFill="1" applyBorder="1"/>
    <xf numFmtId="0" fontId="8" fillId="14" borderId="32" xfId="0" applyFont="1" applyFill="1" applyBorder="1"/>
    <xf numFmtId="0" fontId="8" fillId="14" borderId="10" xfId="0" applyFont="1" applyFill="1" applyBorder="1"/>
    <xf numFmtId="0" fontId="8" fillId="14" borderId="36" xfId="0" applyFont="1" applyFill="1" applyBorder="1"/>
    <xf numFmtId="0" fontId="8" fillId="13" borderId="35" xfId="0" applyFont="1" applyFill="1" applyBorder="1"/>
    <xf numFmtId="0" fontId="8" fillId="13" borderId="7" xfId="0" applyFont="1" applyFill="1" applyBorder="1"/>
    <xf numFmtId="0" fontId="8" fillId="13" borderId="8" xfId="0" applyFont="1" applyFill="1" applyBorder="1"/>
    <xf numFmtId="0" fontId="8" fillId="13" borderId="107" xfId="0" applyFont="1" applyFill="1" applyBorder="1"/>
    <xf numFmtId="0" fontId="8" fillId="0" borderId="29" xfId="0" applyFont="1" applyBorder="1"/>
    <xf numFmtId="0" fontId="8" fillId="0" borderId="108" xfId="0" applyFont="1" applyBorder="1"/>
    <xf numFmtId="0" fontId="8" fillId="0" borderId="40" xfId="0" applyFont="1" applyBorder="1"/>
    <xf numFmtId="0" fontId="19" fillId="0" borderId="0" xfId="0" applyFont="1" applyAlignment="1">
      <alignment vertical="top" wrapText="1"/>
    </xf>
    <xf numFmtId="0" fontId="15" fillId="11" borderId="109" xfId="0" applyFont="1" applyFill="1" applyBorder="1" applyAlignment="1">
      <alignment horizontal="center" vertical="center" wrapText="1"/>
    </xf>
    <xf numFmtId="0" fontId="8" fillId="0" borderId="0" xfId="0" applyFont="1" applyAlignment="1">
      <alignment horizontal="center" vertical="center"/>
    </xf>
    <xf numFmtId="0" fontId="16" fillId="0" borderId="110" xfId="0" applyFont="1" applyBorder="1" applyAlignment="1">
      <alignment vertical="top"/>
    </xf>
    <xf numFmtId="0" fontId="8" fillId="0" borderId="0" xfId="0" applyFont="1" applyAlignment="1">
      <alignment horizontal="left" vertical="center"/>
    </xf>
    <xf numFmtId="0" fontId="15" fillId="11" borderId="74" xfId="0" applyFont="1" applyFill="1" applyBorder="1" applyAlignment="1">
      <alignment vertical="top" wrapText="1"/>
    </xf>
    <xf numFmtId="0" fontId="15" fillId="11" borderId="75" xfId="0" applyFont="1" applyFill="1" applyBorder="1" applyAlignment="1">
      <alignment vertical="top" wrapText="1"/>
    </xf>
    <xf numFmtId="0" fontId="15" fillId="11" borderId="6" xfId="0" applyFont="1" applyFill="1" applyBorder="1" applyAlignment="1">
      <alignment vertical="top"/>
    </xf>
    <xf numFmtId="0" fontId="15" fillId="11" borderId="7" xfId="0" applyFont="1" applyFill="1" applyBorder="1" applyAlignment="1">
      <alignment vertical="top" wrapText="1"/>
    </xf>
    <xf numFmtId="0" fontId="8" fillId="11" borderId="42" xfId="0" applyFont="1" applyFill="1" applyBorder="1" applyAlignment="1">
      <alignment vertical="top"/>
    </xf>
    <xf numFmtId="0" fontId="15" fillId="11" borderId="93" xfId="0" applyFont="1" applyFill="1" applyBorder="1" applyAlignment="1">
      <alignment vertical="top"/>
    </xf>
    <xf numFmtId="0" fontId="15" fillId="11" borderId="94" xfId="0" applyFont="1" applyFill="1" applyBorder="1" applyAlignment="1">
      <alignment vertical="top"/>
    </xf>
    <xf numFmtId="0" fontId="8" fillId="0" borderId="22" xfId="0" applyFont="1" applyBorder="1" applyAlignment="1">
      <alignment wrapText="1"/>
    </xf>
    <xf numFmtId="0" fontId="16" fillId="0" borderId="29" xfId="0" applyFont="1" applyBorder="1" applyAlignment="1">
      <alignment vertical="top"/>
    </xf>
    <xf numFmtId="0" fontId="8" fillId="0" borderId="6" xfId="0" applyFont="1" applyBorder="1" applyAlignment="1">
      <alignment wrapText="1"/>
    </xf>
    <xf numFmtId="0" fontId="8" fillId="0" borderId="32" xfId="0" applyFont="1" applyBorder="1" applyAlignment="1">
      <alignment wrapText="1"/>
    </xf>
    <xf numFmtId="0" fontId="8" fillId="0" borderId="10" xfId="0" applyFont="1" applyBorder="1" applyAlignment="1">
      <alignment wrapText="1"/>
    </xf>
    <xf numFmtId="0" fontId="16" fillId="0" borderId="58" xfId="0" applyFont="1" applyBorder="1" applyAlignment="1">
      <alignment vertical="top"/>
    </xf>
    <xf numFmtId="0" fontId="8" fillId="0" borderId="36" xfId="0" applyFont="1" applyBorder="1" applyAlignment="1">
      <alignment wrapText="1"/>
    </xf>
    <xf numFmtId="0" fontId="16" fillId="0" borderId="0" xfId="0" applyFont="1" applyAlignment="1">
      <alignment vertical="top"/>
    </xf>
    <xf numFmtId="0" fontId="8" fillId="13" borderId="63" xfId="0" applyFont="1" applyFill="1" applyBorder="1" applyAlignment="1">
      <alignment horizontal="center" vertical="center"/>
    </xf>
    <xf numFmtId="0" fontId="8" fillId="13" borderId="65" xfId="0" applyFont="1" applyFill="1" applyBorder="1" applyAlignment="1">
      <alignment horizontal="center" vertical="center"/>
    </xf>
    <xf numFmtId="0" fontId="8" fillId="13" borderId="74" xfId="0" applyFont="1" applyFill="1" applyBorder="1" applyAlignment="1">
      <alignment horizontal="center" vertical="center"/>
    </xf>
    <xf numFmtId="0" fontId="8" fillId="13" borderId="75" xfId="0" applyFont="1" applyFill="1" applyBorder="1" applyAlignment="1">
      <alignment horizontal="center" vertical="center"/>
    </xf>
    <xf numFmtId="0" fontId="8" fillId="0" borderId="85" xfId="0" applyFont="1" applyBorder="1" applyAlignment="1">
      <alignment horizontal="right"/>
    </xf>
    <xf numFmtId="0" fontId="8" fillId="0" borderId="86" xfId="0" applyFont="1" applyBorder="1" applyAlignment="1">
      <alignment horizontal="left"/>
    </xf>
    <xf numFmtId="0" fontId="8" fillId="0" borderId="86" xfId="0" applyFont="1" applyBorder="1" applyAlignment="1">
      <alignment horizontal="right"/>
    </xf>
    <xf numFmtId="0" fontId="8" fillId="0" borderId="108" xfId="0" applyFont="1" applyBorder="1" applyAlignment="1">
      <alignment horizontal="left"/>
    </xf>
    <xf numFmtId="0" fontId="8" fillId="0" borderId="0" xfId="0" applyFont="1" applyAlignment="1">
      <alignment horizontal="center" vertical="center" wrapText="1"/>
    </xf>
    <xf numFmtId="0" fontId="8" fillId="0" borderId="22" xfId="0" applyFont="1" applyBorder="1" applyAlignment="1">
      <alignment horizontal="right"/>
    </xf>
    <xf numFmtId="0" fontId="8" fillId="0" borderId="66" xfId="0" applyFont="1" applyBorder="1" applyAlignment="1">
      <alignment horizontal="right"/>
    </xf>
    <xf numFmtId="0" fontId="8" fillId="0" borderId="29" xfId="0" applyFont="1" applyBorder="1" applyAlignment="1">
      <alignment horizontal="left"/>
    </xf>
    <xf numFmtId="0" fontId="8" fillId="0" borderId="68" xfId="0" applyFont="1" applyBorder="1" applyAlignment="1">
      <alignment horizontal="left"/>
    </xf>
    <xf numFmtId="0" fontId="8" fillId="0" borderId="68" xfId="0" applyFont="1" applyBorder="1" applyAlignment="1">
      <alignment horizontal="right"/>
    </xf>
    <xf numFmtId="0" fontId="8" fillId="0" borderId="40" xfId="0" applyFont="1" applyBorder="1" applyAlignment="1">
      <alignment horizontal="left"/>
    </xf>
    <xf numFmtId="0" fontId="8" fillId="0" borderId="69" xfId="0" applyFont="1" applyBorder="1" applyAlignment="1">
      <alignment horizontal="left"/>
    </xf>
    <xf numFmtId="0" fontId="8" fillId="0" borderId="7" xfId="0" applyFont="1" applyBorder="1" applyAlignment="1">
      <alignment horizontal="left"/>
    </xf>
    <xf numFmtId="0" fontId="8" fillId="0" borderId="7" xfId="0" applyFont="1" applyBorder="1" applyAlignment="1">
      <alignment horizontal="right"/>
    </xf>
    <xf numFmtId="0" fontId="8" fillId="0" borderId="11" xfId="0" applyFont="1" applyBorder="1" applyAlignment="1">
      <alignment horizontal="right"/>
    </xf>
    <xf numFmtId="0" fontId="8" fillId="0" borderId="36" xfId="0" applyFont="1" applyBorder="1" applyAlignment="1">
      <alignment horizontal="left"/>
    </xf>
    <xf numFmtId="0" fontId="8" fillId="0" borderId="56" xfId="0" applyFont="1" applyBorder="1"/>
    <xf numFmtId="0" fontId="8" fillId="0" borderId="41" xfId="0" applyFont="1" applyBorder="1"/>
    <xf numFmtId="0" fontId="8" fillId="0" borderId="111" xfId="0" applyFont="1" applyBorder="1"/>
    <xf numFmtId="0" fontId="8" fillId="0" borderId="58" xfId="0" applyFont="1" applyBorder="1"/>
    <xf numFmtId="0" fontId="8" fillId="0" borderId="48" xfId="0" applyFont="1" applyBorder="1"/>
    <xf numFmtId="0" fontId="8" fillId="0" borderId="0" xfId="0" applyFont="1" applyAlignment="1">
      <alignment vertical="top"/>
    </xf>
    <xf numFmtId="0" fontId="8" fillId="0" borderId="48" xfId="0" applyFont="1" applyBorder="1" applyAlignment="1">
      <alignment horizontal="left" wrapText="1"/>
    </xf>
    <xf numFmtId="0" fontId="8" fillId="13" borderId="41" xfId="0" applyFont="1" applyFill="1" applyBorder="1"/>
    <xf numFmtId="0" fontId="8" fillId="0" borderId="13" xfId="0" applyFont="1" applyBorder="1" applyAlignment="1">
      <alignment wrapText="1"/>
    </xf>
    <xf numFmtId="0" fontId="8" fillId="0" borderId="112" xfId="0" applyFont="1" applyBorder="1"/>
    <xf numFmtId="0" fontId="8" fillId="0" borderId="113" xfId="0" applyFont="1" applyBorder="1"/>
    <xf numFmtId="0" fontId="8" fillId="0" borderId="114" xfId="0" applyFont="1" applyBorder="1"/>
    <xf numFmtId="0" fontId="8" fillId="0" borderId="115" xfId="0" applyFont="1" applyBorder="1"/>
    <xf numFmtId="0" fontId="8" fillId="13" borderId="42" xfId="0" applyFont="1" applyFill="1" applyBorder="1" applyAlignment="1">
      <alignment horizontal="center" vertical="center"/>
    </xf>
    <xf numFmtId="0" fontId="8" fillId="13" borderId="93" xfId="0" applyFont="1" applyFill="1" applyBorder="1" applyAlignment="1">
      <alignment horizontal="center" vertical="center"/>
    </xf>
    <xf numFmtId="0" fontId="8" fillId="13" borderId="94" xfId="0" applyFont="1" applyFill="1" applyBorder="1" applyAlignment="1">
      <alignment horizontal="center" vertical="center"/>
    </xf>
    <xf numFmtId="0" fontId="8" fillId="13" borderId="5" xfId="0" applyFont="1" applyFill="1" applyBorder="1" applyAlignment="1">
      <alignment horizontal="center" vertical="center"/>
    </xf>
    <xf numFmtId="0" fontId="8" fillId="13" borderId="6" xfId="0" applyFont="1" applyFill="1" applyBorder="1" applyAlignment="1">
      <alignment horizontal="center" vertical="center"/>
    </xf>
    <xf numFmtId="0" fontId="8" fillId="13" borderId="32" xfId="0" applyFont="1" applyFill="1" applyBorder="1" applyAlignment="1">
      <alignment horizontal="center" vertical="center"/>
    </xf>
    <xf numFmtId="0" fontId="5" fillId="0" borderId="0" xfId="0" applyFont="1"/>
    <xf numFmtId="0" fontId="8" fillId="0" borderId="116" xfId="0" applyFont="1" applyBorder="1"/>
    <xf numFmtId="0" fontId="8" fillId="0" borderId="5" xfId="0" applyFont="1" applyBorder="1"/>
    <xf numFmtId="0" fontId="8" fillId="0" borderId="117" xfId="0" applyFont="1" applyBorder="1"/>
    <xf numFmtId="0" fontId="8" fillId="0" borderId="118" xfId="0" applyFont="1" applyBorder="1"/>
    <xf numFmtId="0" fontId="8" fillId="0" borderId="48" xfId="0" applyFont="1" applyBorder="1" applyAlignment="1">
      <alignment horizontal="left"/>
    </xf>
    <xf numFmtId="0" fontId="8" fillId="0" borderId="105" xfId="0" applyFont="1" applyBorder="1"/>
    <xf numFmtId="0" fontId="8" fillId="0" borderId="119" xfId="0" applyFont="1" applyBorder="1"/>
    <xf numFmtId="0" fontId="8" fillId="0" borderId="13" xfId="0" applyFont="1" applyBorder="1" applyAlignment="1">
      <alignment horizontal="center" wrapText="1"/>
    </xf>
    <xf numFmtId="0" fontId="8" fillId="0" borderId="106" xfId="0" applyFont="1" applyBorder="1"/>
    <xf numFmtId="0" fontId="21" fillId="7" borderId="47" xfId="0" quotePrefix="1" applyFont="1" applyFill="1" applyBorder="1" applyAlignment="1">
      <alignment horizontal="center" vertical="center"/>
    </xf>
    <xf numFmtId="0" fontId="21" fillId="7" borderId="142" xfId="0" applyFont="1" applyFill="1" applyBorder="1" applyAlignment="1">
      <alignment horizontal="center" vertical="center"/>
    </xf>
    <xf numFmtId="0" fontId="6" fillId="7" borderId="142" xfId="0" applyFont="1" applyFill="1" applyBorder="1" applyAlignment="1">
      <alignment horizontal="center" vertical="center" wrapText="1"/>
    </xf>
    <xf numFmtId="0" fontId="6" fillId="7" borderId="81" xfId="0" applyFont="1" applyFill="1" applyBorder="1" applyAlignment="1">
      <alignment horizontal="center" vertical="center" wrapText="1"/>
    </xf>
    <xf numFmtId="0" fontId="6" fillId="7" borderId="47" xfId="0" quotePrefix="1" applyFont="1" applyFill="1" applyBorder="1" applyAlignment="1">
      <alignment horizontal="center" vertical="center"/>
    </xf>
    <xf numFmtId="0" fontId="6" fillId="7" borderId="47" xfId="0" quotePrefix="1" applyFont="1" applyFill="1" applyBorder="1" applyAlignment="1">
      <alignment horizontal="right" vertical="center"/>
    </xf>
    <xf numFmtId="0" fontId="6" fillId="7" borderId="34" xfId="0" quotePrefix="1" applyFont="1" applyFill="1" applyBorder="1" applyAlignment="1">
      <alignment vertical="center" wrapText="1"/>
    </xf>
    <xf numFmtId="0" fontId="21" fillId="3" borderId="7" xfId="0" applyFont="1" applyFill="1" applyBorder="1" applyAlignment="1">
      <alignment horizontal="center" vertical="center" wrapText="1"/>
    </xf>
    <xf numFmtId="0" fontId="21" fillId="3" borderId="93" xfId="0" applyFont="1" applyFill="1" applyBorder="1" applyAlignment="1">
      <alignment horizontal="center" vertical="center" wrapText="1"/>
    </xf>
    <xf numFmtId="0" fontId="21" fillId="3" borderId="6" xfId="0" applyFont="1" applyFill="1" applyBorder="1" applyAlignment="1">
      <alignment horizontal="center" vertical="center" wrapText="1"/>
    </xf>
    <xf numFmtId="0" fontId="21" fillId="3" borderId="55" xfId="0" applyFont="1" applyFill="1" applyBorder="1" applyAlignment="1">
      <alignment horizontal="center" vertical="center" wrapText="1"/>
    </xf>
    <xf numFmtId="0" fontId="6" fillId="7" borderId="66" xfId="0" applyFont="1" applyFill="1" applyBorder="1" applyAlignment="1">
      <alignment horizontal="center" vertical="center" wrapText="1"/>
    </xf>
    <xf numFmtId="0" fontId="6" fillId="7" borderId="22"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56" xfId="0" applyFont="1" applyFill="1" applyBorder="1" applyAlignment="1">
      <alignment vertical="center" wrapText="1"/>
    </xf>
    <xf numFmtId="0" fontId="5" fillId="3" borderId="66" xfId="0" applyFont="1" applyFill="1" applyBorder="1" applyAlignment="1">
      <alignment horizontal="center" vertical="center" textRotation="90" wrapText="1"/>
    </xf>
    <xf numFmtId="0" fontId="5" fillId="3" borderId="62" xfId="0" applyFont="1" applyFill="1" applyBorder="1" applyAlignment="1">
      <alignment horizontal="center" vertical="center" textRotation="90" wrapText="1"/>
    </xf>
    <xf numFmtId="0" fontId="17" fillId="7" borderId="66" xfId="0" applyFont="1" applyFill="1" applyBorder="1" applyAlignment="1">
      <alignment horizontal="center" vertical="center"/>
    </xf>
    <xf numFmtId="0" fontId="17" fillId="7" borderId="66" xfId="0" applyFont="1" applyFill="1" applyBorder="1" applyAlignment="1">
      <alignment horizontal="center" vertical="center" wrapText="1"/>
    </xf>
    <xf numFmtId="0" fontId="17" fillId="7" borderId="26" xfId="0" applyFont="1" applyFill="1" applyBorder="1" applyAlignment="1">
      <alignment horizontal="center" vertical="center"/>
    </xf>
    <xf numFmtId="0" fontId="17" fillId="14" borderId="160" xfId="0" applyFont="1" applyFill="1" applyBorder="1" applyAlignment="1">
      <alignment horizontal="center" vertical="center"/>
    </xf>
    <xf numFmtId="0" fontId="17" fillId="14" borderId="61" xfId="0" applyFont="1" applyFill="1" applyBorder="1" applyAlignment="1">
      <alignment horizontal="center" vertical="center"/>
    </xf>
    <xf numFmtId="0" fontId="2" fillId="6" borderId="13" xfId="0" applyFont="1" applyFill="1" applyBorder="1" applyAlignment="1" applyProtection="1">
      <alignment horizontal="left" vertical="center" wrapText="1"/>
      <protection locked="0"/>
    </xf>
    <xf numFmtId="0" fontId="2" fillId="17" borderId="13" xfId="0" applyFont="1" applyFill="1" applyBorder="1" applyAlignment="1" applyProtection="1">
      <alignment horizontal="left" vertical="center" wrapText="1"/>
      <protection locked="0"/>
    </xf>
    <xf numFmtId="0" fontId="5" fillId="3" borderId="1" xfId="0" applyFont="1" applyFill="1" applyBorder="1" applyAlignment="1">
      <alignment horizontal="center" vertical="center" wrapText="1"/>
    </xf>
    <xf numFmtId="0" fontId="3" fillId="0" borderId="3" xfId="0" applyFont="1" applyBorder="1"/>
    <xf numFmtId="0" fontId="2" fillId="2" borderId="52" xfId="0" applyFont="1" applyFill="1" applyBorder="1" applyAlignment="1">
      <alignment horizontal="center" vertical="center" wrapText="1"/>
    </xf>
    <xf numFmtId="0" fontId="3" fillId="0" borderId="53" xfId="0" applyFont="1" applyBorder="1"/>
    <xf numFmtId="0" fontId="3" fillId="0" borderId="54" xfId="0" applyFont="1" applyBorder="1"/>
    <xf numFmtId="0" fontId="5" fillId="3" borderId="52"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3" fillId="0" borderId="2" xfId="0" applyFont="1" applyBorder="1"/>
    <xf numFmtId="0" fontId="2" fillId="2" borderId="14" xfId="0" applyFont="1" applyFill="1" applyBorder="1" applyAlignment="1">
      <alignment horizontal="center" vertical="center" wrapText="1"/>
    </xf>
    <xf numFmtId="0" fontId="3" fillId="0" borderId="15" xfId="0" applyFont="1" applyBorder="1"/>
    <xf numFmtId="0" fontId="3" fillId="0" borderId="16" xfId="0" applyFont="1" applyBorder="1"/>
    <xf numFmtId="0" fontId="3" fillId="0" borderId="17" xfId="0" applyFont="1" applyBorder="1"/>
    <xf numFmtId="0" fontId="3" fillId="0" borderId="18" xfId="0" applyFont="1" applyBorder="1"/>
    <xf numFmtId="0" fontId="3" fillId="0" borderId="19" xfId="0" applyFont="1" applyBorder="1"/>
    <xf numFmtId="0" fontId="9" fillId="2" borderId="1" xfId="0" applyFont="1" applyFill="1" applyBorder="1" applyAlignment="1">
      <alignment horizontal="center" vertical="center" wrapText="1"/>
    </xf>
    <xf numFmtId="0" fontId="3" fillId="0" borderId="21" xfId="0" applyFont="1" applyBorder="1"/>
    <xf numFmtId="0" fontId="5" fillId="10" borderId="76" xfId="0" applyFont="1" applyFill="1" applyBorder="1" applyAlignment="1">
      <alignment horizontal="center" vertical="center" wrapText="1"/>
    </xf>
    <xf numFmtId="0" fontId="3" fillId="0" borderId="77" xfId="0" applyFont="1" applyBorder="1"/>
    <xf numFmtId="0" fontId="3" fillId="0" borderId="78" xfId="0" applyFont="1" applyBorder="1"/>
    <xf numFmtId="0" fontId="5" fillId="3" borderId="52" xfId="0" applyFont="1" applyFill="1" applyBorder="1" applyAlignment="1">
      <alignment horizontal="center" wrapText="1"/>
    </xf>
    <xf numFmtId="0" fontId="3" fillId="0" borderId="51" xfId="0" applyFont="1" applyBorder="1"/>
    <xf numFmtId="0" fontId="6" fillId="7" borderId="143" xfId="0" applyFont="1" applyFill="1" applyBorder="1" applyAlignment="1">
      <alignment horizontal="left" vertical="center"/>
    </xf>
    <xf numFmtId="0" fontId="3" fillId="0" borderId="130" xfId="0" applyFont="1" applyBorder="1"/>
    <xf numFmtId="0" fontId="3" fillId="0" borderId="144" xfId="0" applyFont="1" applyBorder="1"/>
    <xf numFmtId="0" fontId="6" fillId="7" borderId="143" xfId="0" quotePrefix="1" applyFont="1" applyFill="1" applyBorder="1" applyAlignment="1">
      <alignment horizontal="left" vertical="center"/>
    </xf>
    <xf numFmtId="0" fontId="6" fillId="7" borderId="29" xfId="0" quotePrefix="1" applyFont="1" applyFill="1" applyBorder="1" applyAlignment="1">
      <alignment horizontal="center" vertical="center" wrapText="1"/>
    </xf>
    <xf numFmtId="0" fontId="3" fillId="0" borderId="23" xfId="0" applyFont="1" applyBorder="1"/>
    <xf numFmtId="0" fontId="6" fillId="7" borderId="143" xfId="0" applyFont="1" applyFill="1" applyBorder="1" applyAlignment="1">
      <alignment horizontal="left" vertical="center" wrapText="1"/>
    </xf>
    <xf numFmtId="0" fontId="6" fillId="7" borderId="145" xfId="0" quotePrefix="1" applyFont="1" applyFill="1" applyBorder="1" applyAlignment="1">
      <alignment horizontal="left" vertical="center" wrapText="1"/>
    </xf>
    <xf numFmtId="0" fontId="3" fillId="0" borderId="125" xfId="0" applyFont="1" applyBorder="1"/>
    <xf numFmtId="0" fontId="3" fillId="0" borderId="73" xfId="0" applyFont="1" applyBorder="1"/>
    <xf numFmtId="0" fontId="21" fillId="16" borderId="117" xfId="0" applyFont="1" applyFill="1" applyBorder="1" applyAlignment="1">
      <alignment horizontal="center" vertical="center"/>
    </xf>
    <xf numFmtId="0" fontId="3" fillId="0" borderId="127" xfId="0" applyFont="1" applyBorder="1"/>
    <xf numFmtId="0" fontId="3" fillId="0" borderId="111" xfId="0" applyFont="1" applyBorder="1"/>
    <xf numFmtId="0" fontId="21" fillId="3" borderId="139" xfId="0" applyFont="1" applyFill="1" applyBorder="1" applyAlignment="1">
      <alignment horizontal="center" vertical="center" wrapText="1"/>
    </xf>
    <xf numFmtId="0" fontId="3" fillId="0" borderId="146" xfId="0" applyFont="1" applyBorder="1"/>
    <xf numFmtId="0" fontId="3" fillId="0" borderId="140" xfId="0" applyFont="1" applyBorder="1"/>
    <xf numFmtId="0" fontId="21" fillId="3" borderId="141" xfId="0" applyFont="1" applyFill="1" applyBorder="1" applyAlignment="1">
      <alignment horizontal="center" vertical="center" wrapText="1"/>
    </xf>
    <xf numFmtId="0" fontId="21" fillId="3" borderId="29" xfId="0" applyFont="1" applyFill="1" applyBorder="1" applyAlignment="1">
      <alignment horizontal="center" vertical="center" wrapText="1"/>
    </xf>
    <xf numFmtId="0" fontId="20" fillId="0" borderId="18" xfId="0" applyFont="1" applyBorder="1" applyAlignment="1">
      <alignment horizontal="center" vertical="center"/>
    </xf>
    <xf numFmtId="4" fontId="8" fillId="7" borderId="123" xfId="0" applyNumberFormat="1" applyFont="1" applyFill="1" applyBorder="1" applyAlignment="1">
      <alignment horizontal="center"/>
    </xf>
    <xf numFmtId="0" fontId="3" fillId="0" borderId="122" xfId="0" applyFont="1" applyBorder="1"/>
    <xf numFmtId="0" fontId="5" fillId="3" borderId="123" xfId="0" applyFont="1" applyFill="1" applyBorder="1" applyAlignment="1">
      <alignment horizontal="center"/>
    </xf>
    <xf numFmtId="0" fontId="3" fillId="0" borderId="121" xfId="0" applyFont="1" applyBorder="1"/>
    <xf numFmtId="0" fontId="8" fillId="7" borderId="123" xfId="0" applyFont="1" applyFill="1" applyBorder="1" applyAlignment="1">
      <alignment horizontal="center"/>
    </xf>
    <xf numFmtId="0" fontId="8" fillId="7" borderId="123" xfId="0" applyFont="1" applyFill="1" applyBorder="1" applyAlignment="1">
      <alignment horizontal="center" wrapText="1"/>
    </xf>
    <xf numFmtId="0" fontId="3" fillId="0" borderId="124" xfId="0" applyFont="1" applyBorder="1"/>
    <xf numFmtId="0" fontId="5" fillId="3" borderId="120" xfId="0" applyFont="1" applyFill="1" applyBorder="1" applyAlignment="1">
      <alignment horizontal="center"/>
    </xf>
    <xf numFmtId="0" fontId="5" fillId="3" borderId="106" xfId="0" applyFont="1" applyFill="1" applyBorder="1" applyAlignment="1">
      <alignment horizontal="center"/>
    </xf>
    <xf numFmtId="0" fontId="3" fillId="0" borderId="126" xfId="0" applyFont="1" applyBorder="1"/>
    <xf numFmtId="0" fontId="8" fillId="7" borderId="58" xfId="0" applyFont="1" applyFill="1" applyBorder="1" applyAlignment="1">
      <alignment horizontal="center"/>
    </xf>
    <xf numFmtId="0" fontId="5" fillId="3" borderId="58" xfId="0" applyFont="1" applyFill="1" applyBorder="1" applyAlignment="1">
      <alignment horizontal="center"/>
    </xf>
    <xf numFmtId="0" fontId="8" fillId="0" borderId="58" xfId="0" applyFont="1" applyBorder="1" applyAlignment="1">
      <alignment horizontal="center"/>
    </xf>
    <xf numFmtId="0" fontId="21" fillId="3" borderId="128" xfId="0" applyFont="1" applyFill="1" applyBorder="1" applyAlignment="1">
      <alignment horizontal="center" vertical="center" wrapText="1"/>
    </xf>
    <xf numFmtId="0" fontId="3" fillId="0" borderId="129" xfId="0" applyFont="1" applyBorder="1"/>
    <xf numFmtId="0" fontId="3" fillId="0" borderId="83" xfId="0" applyFont="1" applyBorder="1"/>
    <xf numFmtId="0" fontId="3" fillId="0" borderId="133" xfId="0" applyFont="1" applyBorder="1"/>
    <xf numFmtId="0" fontId="3" fillId="0" borderId="104" xfId="0" applyFont="1" applyBorder="1"/>
    <xf numFmtId="0" fontId="3" fillId="0" borderId="136" xfId="0" applyFont="1" applyBorder="1"/>
    <xf numFmtId="0" fontId="6" fillId="7" borderId="139" xfId="0" applyFont="1" applyFill="1" applyBorder="1" applyAlignment="1">
      <alignment horizontal="center" vertical="center"/>
    </xf>
    <xf numFmtId="0" fontId="6" fillId="7" borderId="141" xfId="0" applyFont="1" applyFill="1" applyBorder="1" applyAlignment="1">
      <alignment horizontal="center" vertical="center" wrapText="1"/>
    </xf>
    <xf numFmtId="0" fontId="21" fillId="3" borderId="29" xfId="0" applyFont="1" applyFill="1" applyBorder="1" applyAlignment="1">
      <alignment horizontal="center" vertical="center"/>
    </xf>
    <xf numFmtId="0" fontId="3" fillId="0" borderId="119" xfId="0" applyFont="1" applyBorder="1"/>
    <xf numFmtId="0" fontId="21" fillId="3" borderId="40" xfId="0" applyFont="1" applyFill="1" applyBorder="1" applyAlignment="1">
      <alignment horizontal="center" vertical="center" wrapText="1"/>
    </xf>
    <xf numFmtId="0" fontId="3" fillId="0" borderId="131" xfId="0" applyFont="1" applyBorder="1"/>
    <xf numFmtId="0" fontId="3" fillId="0" borderId="132" xfId="0" applyFont="1" applyBorder="1"/>
    <xf numFmtId="0" fontId="3" fillId="0" borderId="135" xfId="0" applyFont="1" applyBorder="1"/>
    <xf numFmtId="0" fontId="0" fillId="0" borderId="0" xfId="0"/>
    <xf numFmtId="0" fontId="3" fillId="0" borderId="46" xfId="0" applyFont="1" applyBorder="1"/>
    <xf numFmtId="0" fontId="3" fillId="0" borderId="108" xfId="0" applyFont="1" applyBorder="1"/>
    <xf numFmtId="0" fontId="3" fillId="0" borderId="137" xfId="0" applyFont="1" applyBorder="1"/>
    <xf numFmtId="0" fontId="3" fillId="0" borderId="138" xfId="0" applyFont="1" applyBorder="1"/>
    <xf numFmtId="0" fontId="3" fillId="0" borderId="134" xfId="0" applyFont="1" applyBorder="1"/>
    <xf numFmtId="0" fontId="3" fillId="0" borderId="118" xfId="0" applyFont="1" applyBorder="1"/>
    <xf numFmtId="0" fontId="6" fillId="7" borderId="29" xfId="0" applyFont="1" applyFill="1" applyBorder="1" applyAlignment="1">
      <alignment horizontal="center" vertical="center" wrapText="1"/>
    </xf>
    <xf numFmtId="0" fontId="6" fillId="7" borderId="106" xfId="0" applyFont="1" applyFill="1" applyBorder="1" applyAlignment="1">
      <alignment horizontal="center" vertical="center"/>
    </xf>
    <xf numFmtId="0" fontId="6" fillId="7" borderId="58" xfId="0" applyFont="1" applyFill="1" applyBorder="1" applyAlignment="1">
      <alignment horizontal="center" vertical="center"/>
    </xf>
    <xf numFmtId="0" fontId="6" fillId="7" borderId="147" xfId="0" applyFont="1" applyFill="1" applyBorder="1" applyAlignment="1">
      <alignment horizontal="center" vertical="center"/>
    </xf>
    <xf numFmtId="0" fontId="3" fillId="0" borderId="148" xfId="0" applyFont="1" applyBorder="1"/>
    <xf numFmtId="0" fontId="3" fillId="0" borderId="149" xfId="0" applyFont="1" applyBorder="1"/>
    <xf numFmtId="0" fontId="21" fillId="3" borderId="105" xfId="0" applyFont="1" applyFill="1" applyBorder="1" applyAlignment="1">
      <alignment horizontal="center" vertical="center"/>
    </xf>
    <xf numFmtId="0" fontId="21" fillId="3" borderId="143" xfId="0" applyFont="1" applyFill="1" applyBorder="1" applyAlignment="1">
      <alignment horizontal="center" vertical="center"/>
    </xf>
    <xf numFmtId="0" fontId="6" fillId="7" borderId="152" xfId="0" applyFont="1" applyFill="1" applyBorder="1" applyAlignment="1">
      <alignment horizontal="center" vertical="center"/>
    </xf>
    <xf numFmtId="0" fontId="21" fillId="3" borderId="105" xfId="0" applyFont="1" applyFill="1" applyBorder="1" applyAlignment="1">
      <alignment horizontal="center" vertical="center" wrapText="1"/>
    </xf>
    <xf numFmtId="0" fontId="3" fillId="0" borderId="153" xfId="0" applyFont="1" applyBorder="1"/>
    <xf numFmtId="0" fontId="6" fillId="7" borderId="150" xfId="0" applyFont="1" applyFill="1" applyBorder="1" applyAlignment="1">
      <alignment horizontal="center" vertical="center"/>
    </xf>
    <xf numFmtId="0" fontId="3" fillId="0" borderId="151" xfId="0" applyFont="1" applyBorder="1"/>
    <xf numFmtId="0" fontId="21" fillId="3" borderId="1" xfId="0" applyFont="1" applyFill="1" applyBorder="1" applyAlignment="1">
      <alignment horizontal="center" vertical="center" wrapText="1"/>
    </xf>
    <xf numFmtId="0" fontId="3" fillId="0" borderId="154" xfId="0" applyFont="1" applyBorder="1"/>
    <xf numFmtId="0" fontId="6" fillId="7" borderId="105" xfId="0" applyFont="1" applyFill="1" applyBorder="1" applyAlignment="1">
      <alignment horizontal="center" vertical="center"/>
    </xf>
    <xf numFmtId="0" fontId="6" fillId="7" borderId="145" xfId="0" applyFont="1" applyFill="1" applyBorder="1" applyAlignment="1">
      <alignment horizontal="center" vertical="center"/>
    </xf>
    <xf numFmtId="0" fontId="6" fillId="7" borderId="29" xfId="0" applyFont="1" applyFill="1" applyBorder="1" applyAlignment="1">
      <alignment horizontal="center" vertical="center"/>
    </xf>
    <xf numFmtId="0" fontId="21" fillId="16" borderId="105" xfId="0" applyFont="1" applyFill="1" applyBorder="1" applyAlignment="1">
      <alignment horizontal="center" vertical="center"/>
    </xf>
    <xf numFmtId="9" fontId="6" fillId="7" borderId="58" xfId="0" applyNumberFormat="1" applyFont="1" applyFill="1" applyBorder="1" applyAlignment="1">
      <alignment horizontal="center" vertical="center"/>
    </xf>
    <xf numFmtId="0" fontId="5" fillId="3" borderId="114" xfId="0" applyFont="1" applyFill="1" applyBorder="1" applyAlignment="1">
      <alignment horizontal="center" vertical="center" textRotation="90" wrapText="1"/>
    </xf>
    <xf numFmtId="0" fontId="3" fillId="0" borderId="86" xfId="0" applyFont="1" applyBorder="1"/>
    <xf numFmtId="0" fontId="5" fillId="3" borderId="56" xfId="0" applyFont="1" applyFill="1" applyBorder="1" applyAlignment="1">
      <alignment horizontal="center" vertical="center" wrapText="1"/>
    </xf>
    <xf numFmtId="0" fontId="3" fillId="0" borderId="159" xfId="0" applyFont="1" applyBorder="1"/>
    <xf numFmtId="0" fontId="2" fillId="2" borderId="150" xfId="0" applyFont="1" applyFill="1" applyBorder="1" applyAlignment="1">
      <alignment horizontal="center" vertical="center" wrapText="1"/>
    </xf>
    <xf numFmtId="9" fontId="6" fillId="7" borderId="106" xfId="0" applyNumberFormat="1" applyFont="1" applyFill="1" applyBorder="1" applyAlignment="1">
      <alignment horizontal="center" vertical="center"/>
    </xf>
    <xf numFmtId="0" fontId="21" fillId="16" borderId="1" xfId="0" applyFont="1" applyFill="1" applyBorder="1" applyAlignment="1">
      <alignment horizontal="center" vertical="center"/>
    </xf>
    <xf numFmtId="0" fontId="21" fillId="3" borderId="56" xfId="0" applyFont="1" applyFill="1" applyBorder="1" applyAlignment="1">
      <alignment horizontal="center" vertical="center" wrapText="1"/>
    </xf>
    <xf numFmtId="0" fontId="3" fillId="0" borderId="155" xfId="0" applyFont="1" applyBorder="1"/>
    <xf numFmtId="0" fontId="5" fillId="3" borderId="105" xfId="0" applyFont="1" applyFill="1" applyBorder="1" applyAlignment="1">
      <alignment horizontal="center" vertical="center"/>
    </xf>
    <xf numFmtId="0" fontId="5" fillId="3" borderId="106" xfId="0" applyFont="1" applyFill="1" applyBorder="1" applyAlignment="1">
      <alignment horizontal="center" vertical="center"/>
    </xf>
    <xf numFmtId="0" fontId="8" fillId="0" borderId="161" xfId="0" applyFont="1" applyBorder="1" applyAlignment="1">
      <alignment horizontal="left" vertical="center"/>
    </xf>
    <xf numFmtId="0" fontId="3" fillId="0" borderId="161" xfId="0" applyFont="1" applyBorder="1"/>
    <xf numFmtId="0" fontId="8" fillId="0" borderId="0" xfId="0" applyFont="1" applyAlignment="1">
      <alignment horizontal="left"/>
    </xf>
    <xf numFmtId="0" fontId="6" fillId="7" borderId="152" xfId="0" applyFont="1" applyFill="1" applyBorder="1" applyAlignment="1">
      <alignment horizontal="left" vertical="center" wrapText="1"/>
    </xf>
    <xf numFmtId="0" fontId="5" fillId="3" borderId="115" xfId="0" applyFont="1" applyFill="1" applyBorder="1" applyAlignment="1">
      <alignment horizontal="center" vertical="center" textRotation="90" wrapText="1"/>
    </xf>
    <xf numFmtId="0" fontId="3" fillId="0" borderId="87" xfId="0" applyFont="1" applyBorder="1"/>
    <xf numFmtId="0" fontId="22" fillId="3" borderId="157" xfId="0" applyFont="1" applyFill="1" applyBorder="1" applyAlignment="1">
      <alignment horizontal="center" vertical="center" wrapText="1"/>
    </xf>
    <xf numFmtId="0" fontId="3" fillId="0" borderId="158" xfId="0" applyFont="1" applyBorder="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0</xdr:colOff>
      <xdr:row>23</xdr:row>
      <xdr:rowOff>0</xdr:rowOff>
    </xdr:from>
    <xdr:ext cx="6086475" cy="2209800"/>
    <xdr:pic>
      <xdr:nvPicPr>
        <xdr:cNvPr id="2" name="image1.png">
          <a:extLst>
            <a:ext uri="{FF2B5EF4-FFF2-40B4-BE49-F238E27FC236}">
              <a16:creationId xmlns:a16="http://schemas.microsoft.com/office/drawing/2014/main" id="{00000000-0008-0000-2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00000000-0008-0000-2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00000000-0008-0000-2F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0000000-0008-0000-2F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00000000-0008-0000-2F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00000000-0008-0000-2F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00000000-0008-0000-2F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00000000-0008-0000-2F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00000000-0008-0000-2F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00000000-0008-0000-2F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00000000-0008-0000-2F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00000000-0008-0000-2F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BABFE8CB-2E90-4733-9483-B2B743EBF817}"/>
            </a:ext>
          </a:extLst>
        </xdr:cNvPr>
        <xdr:cNvPicPr preferRelativeResize="0"/>
      </xdr:nvPicPr>
      <xdr:blipFill>
        <a:blip xmlns:r="http://schemas.openxmlformats.org/officeDocument/2006/relationships" r:embed="rId1" cstate="print"/>
        <a:stretch>
          <a:fillRect/>
        </a:stretch>
      </xdr:blipFill>
      <xdr:spPr>
        <a:xfrm>
          <a:off x="8833485" y="12689205"/>
          <a:ext cx="0" cy="133350"/>
        </a:xfrm>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668784D2-9C3E-4474-ADBE-064F11D51F39}"/>
            </a:ext>
          </a:extLst>
        </xdr:cNvPr>
        <xdr:cNvPicPr preferRelativeResize="0"/>
      </xdr:nvPicPr>
      <xdr:blipFill>
        <a:blip xmlns:r="http://schemas.openxmlformats.org/officeDocument/2006/relationships" r:embed="rId2" cstate="print"/>
        <a:stretch>
          <a:fillRect/>
        </a:stretch>
      </xdr:blipFill>
      <xdr:spPr>
        <a:xfrm>
          <a:off x="12355830" y="12689205"/>
          <a:ext cx="0" cy="133350"/>
        </a:xfrm>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8EE04AA0-4BBB-4C77-8453-3CE1BFE421BC}"/>
            </a:ext>
          </a:extLst>
        </xdr:cNvPr>
        <xdr:cNvPicPr preferRelativeResize="0"/>
      </xdr:nvPicPr>
      <xdr:blipFill>
        <a:blip xmlns:r="http://schemas.openxmlformats.org/officeDocument/2006/relationships" r:embed="rId3" cstate="print"/>
        <a:stretch>
          <a:fillRect/>
        </a:stretch>
      </xdr:blipFill>
      <xdr:spPr>
        <a:xfrm>
          <a:off x="9702165" y="12689205"/>
          <a:ext cx="0" cy="152400"/>
        </a:xfrm>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C78E3D9-9119-426E-8CD8-C76093FDCDF5}"/>
            </a:ext>
          </a:extLst>
        </xdr:cNvPr>
        <xdr:cNvPicPr preferRelativeResize="0"/>
      </xdr:nvPicPr>
      <xdr:blipFill>
        <a:blip xmlns:r="http://schemas.openxmlformats.org/officeDocument/2006/relationships" r:embed="rId4" cstate="print"/>
        <a:stretch>
          <a:fillRect/>
        </a:stretch>
      </xdr:blipFill>
      <xdr:spPr>
        <a:xfrm>
          <a:off x="12355830" y="12689205"/>
          <a:ext cx="0" cy="152400"/>
        </a:xfrm>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A27F7019-E692-48FC-8461-09A974463BC5}"/>
            </a:ext>
          </a:extLst>
        </xdr:cNvPr>
        <xdr:cNvPicPr preferRelativeResize="0"/>
      </xdr:nvPicPr>
      <xdr:blipFill>
        <a:blip xmlns:r="http://schemas.openxmlformats.org/officeDocument/2006/relationships" r:embed="rId5" cstate="print"/>
        <a:stretch>
          <a:fillRect/>
        </a:stretch>
      </xdr:blipFill>
      <xdr:spPr>
        <a:xfrm>
          <a:off x="8833485" y="14152245"/>
          <a:ext cx="0" cy="133350"/>
        </a:xfrm>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9BBC0E65-6E0B-4D4E-A40B-1F9DD13F951F}"/>
            </a:ext>
          </a:extLst>
        </xdr:cNvPr>
        <xdr:cNvPicPr preferRelativeResize="0"/>
      </xdr:nvPicPr>
      <xdr:blipFill>
        <a:blip xmlns:r="http://schemas.openxmlformats.org/officeDocument/2006/relationships" r:embed="rId6" cstate="print"/>
        <a:stretch>
          <a:fillRect/>
        </a:stretch>
      </xdr:blipFill>
      <xdr:spPr>
        <a:xfrm>
          <a:off x="12355830" y="14152245"/>
          <a:ext cx="0" cy="133350"/>
        </a:xfrm>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F4A448C6-09D7-4055-9E10-297B43314E82}"/>
            </a:ext>
          </a:extLst>
        </xdr:cNvPr>
        <xdr:cNvPicPr preferRelativeResize="0"/>
      </xdr:nvPicPr>
      <xdr:blipFill>
        <a:blip xmlns:r="http://schemas.openxmlformats.org/officeDocument/2006/relationships" r:embed="rId7" cstate="print"/>
        <a:stretch>
          <a:fillRect/>
        </a:stretch>
      </xdr:blipFill>
      <xdr:spPr>
        <a:xfrm>
          <a:off x="9702165" y="14152245"/>
          <a:ext cx="0" cy="152400"/>
        </a:xfrm>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8D860DD2-EB61-491A-9F17-9979195C58D1}"/>
            </a:ext>
          </a:extLst>
        </xdr:cNvPr>
        <xdr:cNvPicPr preferRelativeResize="0"/>
      </xdr:nvPicPr>
      <xdr:blipFill>
        <a:blip xmlns:r="http://schemas.openxmlformats.org/officeDocument/2006/relationships" r:embed="rId8" cstate="print"/>
        <a:stretch>
          <a:fillRect/>
        </a:stretch>
      </xdr:blipFill>
      <xdr:spPr>
        <a:xfrm>
          <a:off x="12355830" y="14152245"/>
          <a:ext cx="0" cy="152400"/>
        </a:xfrm>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1EAD498C-A367-4348-AC56-B59DD973971C}"/>
            </a:ext>
          </a:extLst>
        </xdr:cNvPr>
        <xdr:cNvPicPr preferRelativeResize="0"/>
      </xdr:nvPicPr>
      <xdr:blipFill>
        <a:blip xmlns:r="http://schemas.openxmlformats.org/officeDocument/2006/relationships" r:embed="rId5" cstate="print"/>
        <a:stretch>
          <a:fillRect/>
        </a:stretch>
      </xdr:blipFill>
      <xdr:spPr>
        <a:xfrm>
          <a:off x="8833485" y="13420725"/>
          <a:ext cx="0" cy="133350"/>
        </a:xfrm>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38C7BFA1-7DDD-43E9-8258-26764962406C}"/>
            </a:ext>
          </a:extLst>
        </xdr:cNvPr>
        <xdr:cNvPicPr preferRelativeResize="0"/>
      </xdr:nvPicPr>
      <xdr:blipFill>
        <a:blip xmlns:r="http://schemas.openxmlformats.org/officeDocument/2006/relationships" r:embed="rId6" cstate="print"/>
        <a:stretch>
          <a:fillRect/>
        </a:stretch>
      </xdr:blipFill>
      <xdr:spPr>
        <a:xfrm>
          <a:off x="12355830" y="13420725"/>
          <a:ext cx="0" cy="133350"/>
        </a:xfrm>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AB7A411F-95EA-41FA-9298-3652E76AADC1}"/>
            </a:ext>
          </a:extLst>
        </xdr:cNvPr>
        <xdr:cNvPicPr preferRelativeResize="0"/>
      </xdr:nvPicPr>
      <xdr:blipFill>
        <a:blip xmlns:r="http://schemas.openxmlformats.org/officeDocument/2006/relationships" r:embed="rId7" cstate="print"/>
        <a:stretch>
          <a:fillRect/>
        </a:stretch>
      </xdr:blipFill>
      <xdr:spPr>
        <a:xfrm>
          <a:off x="9702165" y="13420725"/>
          <a:ext cx="0" cy="152400"/>
        </a:xfrm>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1CF81654-8EFA-428D-A7F8-194B6C3761B8}"/>
            </a:ext>
          </a:extLst>
        </xdr:cNvPr>
        <xdr:cNvPicPr preferRelativeResize="0"/>
      </xdr:nvPicPr>
      <xdr:blipFill>
        <a:blip xmlns:r="http://schemas.openxmlformats.org/officeDocument/2006/relationships" r:embed="rId8" cstate="print"/>
        <a:stretch>
          <a:fillRect/>
        </a:stretch>
      </xdr:blipFill>
      <xdr:spPr>
        <a:xfrm>
          <a:off x="12355830" y="13420725"/>
          <a:ext cx="0" cy="152400"/>
        </a:xfrm>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K1000"/>
  <sheetViews>
    <sheetView topLeftCell="A53" workbookViewId="0">
      <selection activeCell="A58" sqref="A58"/>
    </sheetView>
  </sheetViews>
  <sheetFormatPr baseColWidth="10" defaultColWidth="14.44140625" defaultRowHeight="15" custom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customWidth="1"/>
    <col min="10" max="10" width="8.88671875" customWidth="1"/>
    <col min="11" max="11" width="14.44140625" customWidth="1"/>
  </cols>
  <sheetData>
    <row r="1" spans="1:11" ht="35.25" customHeight="1" x14ac:dyDescent="0.3">
      <c r="A1" s="374" t="s">
        <v>0</v>
      </c>
      <c r="B1" s="375"/>
      <c r="C1" s="375"/>
      <c r="D1" s="375"/>
      <c r="E1" s="375"/>
      <c r="F1" s="369"/>
      <c r="G1" s="1" t="s">
        <v>1</v>
      </c>
      <c r="H1" s="2" t="s">
        <v>2</v>
      </c>
    </row>
    <row r="2" spans="1:11" ht="14.25" customHeight="1" x14ac:dyDescent="0.3">
      <c r="A2" s="3" t="s">
        <v>3</v>
      </c>
      <c r="B2" s="4" t="s">
        <v>138</v>
      </c>
      <c r="C2" s="5" t="s">
        <v>4</v>
      </c>
      <c r="D2" s="6"/>
      <c r="E2" s="5" t="s">
        <v>5</v>
      </c>
      <c r="F2" s="7" t="str" cm="1">
        <f t="array" ref="F2">INDEX(_xlfn._xlws.FILTER(Listas!$C$2:$C$9,Listas!$B$2:$B$9&lt;&gt;""),MATCH(1,(VALUE(_xlfn._xlws.FILTER(Listas!$B$2:$B$9,Listas!$B$2:$B$9&lt;&gt;""))&gt;=D2)*1,0))</f>
        <v>Bajo 1</v>
      </c>
      <c r="G2" s="8" t="s">
        <v>6</v>
      </c>
      <c r="H2" s="9"/>
    </row>
    <row r="3" spans="1:11" ht="14.25" customHeight="1" x14ac:dyDescent="0.3">
      <c r="A3" s="10" t="s">
        <v>7</v>
      </c>
      <c r="B3" s="11" t="s">
        <v>139</v>
      </c>
      <c r="C3" s="12" t="s">
        <v>8</v>
      </c>
      <c r="D3" s="11"/>
      <c r="E3" s="12" t="s">
        <v>9</v>
      </c>
      <c r="F3" s="11"/>
      <c r="G3" s="13"/>
      <c r="H3" s="14"/>
    </row>
    <row r="4" spans="1:11" ht="18" customHeight="1" x14ac:dyDescent="0.3">
      <c r="A4" s="376" t="s">
        <v>10</v>
      </c>
      <c r="B4" s="377"/>
      <c r="C4" s="377"/>
      <c r="D4" s="377"/>
      <c r="E4" s="377"/>
      <c r="F4" s="378"/>
      <c r="G4" s="8" t="s">
        <v>11</v>
      </c>
      <c r="H4" s="14"/>
    </row>
    <row r="5" spans="1:11" ht="15" customHeight="1" x14ac:dyDescent="0.3">
      <c r="A5" s="379"/>
      <c r="B5" s="380"/>
      <c r="C5" s="380"/>
      <c r="D5" s="380"/>
      <c r="E5" s="380"/>
      <c r="F5" s="381"/>
      <c r="G5" s="15"/>
      <c r="H5" s="14"/>
    </row>
    <row r="6" spans="1:11" ht="14.25" customHeight="1" x14ac:dyDescent="0.3">
      <c r="A6" s="382" t="s">
        <v>12</v>
      </c>
      <c r="B6" s="375"/>
      <c r="C6" s="375"/>
      <c r="D6" s="375"/>
      <c r="E6" s="375"/>
      <c r="F6" s="383"/>
      <c r="G6" s="366" t="s">
        <v>980</v>
      </c>
      <c r="H6" s="2" t="s">
        <v>13</v>
      </c>
    </row>
    <row r="7" spans="1:11" ht="14.25" customHeight="1" x14ac:dyDescent="0.3">
      <c r="A7" s="3" t="s">
        <v>14</v>
      </c>
      <c r="B7" s="16"/>
      <c r="C7" s="17" t="s">
        <v>15</v>
      </c>
      <c r="D7" s="18">
        <v>12000</v>
      </c>
      <c r="E7" s="19" t="s">
        <v>16</v>
      </c>
      <c r="F7" s="18"/>
      <c r="G7" s="2" t="s">
        <v>17</v>
      </c>
      <c r="H7" s="20"/>
    </row>
    <row r="8" spans="1:11" ht="14.25" customHeight="1" x14ac:dyDescent="0.3">
      <c r="A8" s="21" t="s">
        <v>18</v>
      </c>
      <c r="B8" s="22"/>
      <c r="C8" s="17" t="s">
        <v>19</v>
      </c>
      <c r="D8" s="23" t="s">
        <v>156</v>
      </c>
      <c r="E8" s="17" t="s">
        <v>20</v>
      </c>
      <c r="F8" s="23"/>
      <c r="G8" s="24"/>
      <c r="H8" s="20"/>
      <c r="J8" s="25"/>
    </row>
    <row r="9" spans="1:11" ht="43.2" x14ac:dyDescent="0.3">
      <c r="A9" s="17" t="s">
        <v>21</v>
      </c>
      <c r="B9" s="26" t="b">
        <v>0</v>
      </c>
      <c r="C9" s="27" t="s">
        <v>22</v>
      </c>
      <c r="D9" s="28" t="s">
        <v>23</v>
      </c>
      <c r="E9" s="17" t="s">
        <v>24</v>
      </c>
      <c r="F9" s="29"/>
      <c r="G9" s="24"/>
      <c r="H9" s="20"/>
      <c r="J9" s="368" t="s">
        <v>25</v>
      </c>
      <c r="K9" s="369"/>
    </row>
    <row r="10" spans="1:11" ht="21" customHeight="1" x14ac:dyDescent="0.3">
      <c r="A10" s="21" t="s">
        <v>26</v>
      </c>
      <c r="B10" s="26" t="b">
        <v>0</v>
      </c>
      <c r="C10" s="30" t="s">
        <v>27</v>
      </c>
      <c r="D10" s="31" t="s">
        <v>28</v>
      </c>
      <c r="E10" s="17" t="s">
        <v>29</v>
      </c>
      <c r="F10" s="29"/>
      <c r="G10" s="24"/>
      <c r="H10" s="20"/>
      <c r="J10" s="32"/>
      <c r="K10" s="33" t="s">
        <v>30</v>
      </c>
    </row>
    <row r="11" spans="1:11" ht="15" customHeight="1" x14ac:dyDescent="0.3">
      <c r="A11" s="21" t="s">
        <v>31</v>
      </c>
      <c r="B11" s="26" t="b">
        <v>0</v>
      </c>
      <c r="C11" s="34" t="s">
        <v>32</v>
      </c>
      <c r="D11" s="35" t="s">
        <v>33</v>
      </c>
      <c r="E11" s="17" t="s">
        <v>34</v>
      </c>
      <c r="F11" s="29"/>
      <c r="G11" s="24"/>
      <c r="H11" s="20"/>
      <c r="J11" s="36"/>
      <c r="K11" s="37" t="s">
        <v>35</v>
      </c>
    </row>
    <row r="12" spans="1:11" ht="28.5" customHeight="1" x14ac:dyDescent="0.3">
      <c r="A12" s="38" t="s">
        <v>36</v>
      </c>
      <c r="B12" s="26" t="b">
        <v>0</v>
      </c>
      <c r="C12" s="39"/>
      <c r="D12" s="39"/>
      <c r="E12" s="17" t="s">
        <v>37</v>
      </c>
      <c r="F12" s="29"/>
      <c r="G12" s="24"/>
      <c r="H12" s="20"/>
      <c r="J12" s="40"/>
      <c r="K12" s="37" t="s">
        <v>38</v>
      </c>
    </row>
    <row r="13" spans="1:11" ht="14.25" customHeight="1" x14ac:dyDescent="0.3">
      <c r="A13" s="21" t="s">
        <v>39</v>
      </c>
      <c r="B13" s="41"/>
      <c r="C13" s="39"/>
      <c r="D13" s="39"/>
      <c r="E13" s="17" t="s">
        <v>40</v>
      </c>
      <c r="F13" s="29"/>
      <c r="G13" s="24"/>
      <c r="H13" s="20"/>
      <c r="J13" s="42"/>
      <c r="K13" s="43" t="s">
        <v>41</v>
      </c>
    </row>
    <row r="14" spans="1:11" ht="14.25" customHeight="1" x14ac:dyDescent="0.3">
      <c r="A14" s="21" t="s">
        <v>42</v>
      </c>
      <c r="B14" s="44" t="s">
        <v>145</v>
      </c>
      <c r="C14" s="45" t="s">
        <v>43</v>
      </c>
      <c r="D14" s="39"/>
      <c r="E14" s="17" t="s">
        <v>44</v>
      </c>
      <c r="F14" s="29"/>
      <c r="G14" s="24"/>
      <c r="H14" s="20"/>
    </row>
    <row r="15" spans="1:11" ht="14.25" customHeight="1" x14ac:dyDescent="0.3">
      <c r="A15" s="46"/>
      <c r="B15" s="47"/>
      <c r="C15" s="39"/>
      <c r="D15" s="39"/>
      <c r="E15" s="48" t="s">
        <v>45</v>
      </c>
      <c r="F15" s="49"/>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x14ac:dyDescent="0.3">
      <c r="A21" s="21" t="s">
        <v>55</v>
      </c>
      <c r="B21" s="56" t="b">
        <v>0</v>
      </c>
      <c r="C21" s="57" t="s">
        <v>56</v>
      </c>
      <c r="D21" s="39"/>
      <c r="E21" s="58"/>
      <c r="F21" s="60"/>
      <c r="G21" s="55"/>
      <c r="H21" s="14"/>
    </row>
    <row r="22" spans="1:8" ht="15" customHeight="1" x14ac:dyDescent="0.3">
      <c r="A22" s="10" t="s">
        <v>57</v>
      </c>
      <c r="B22" s="62" t="b">
        <v>0</v>
      </c>
      <c r="C22" s="63" t="s">
        <v>58</v>
      </c>
      <c r="D22" s="64"/>
      <c r="E22" s="65"/>
      <c r="F22" s="66"/>
      <c r="G22" s="67" t="s">
        <v>59</v>
      </c>
      <c r="H22" s="14"/>
    </row>
    <row r="23" spans="1:8" ht="67.5" customHeight="1" x14ac:dyDescent="0.3">
      <c r="A23" s="370" t="s">
        <v>60</v>
      </c>
      <c r="B23" s="371"/>
      <c r="C23" s="371"/>
      <c r="D23" s="371"/>
      <c r="E23" s="371"/>
      <c r="F23" s="372"/>
      <c r="G23" s="68"/>
      <c r="H23" s="20"/>
    </row>
    <row r="24" spans="1:8" ht="14.25" customHeight="1" x14ac:dyDescent="0.3">
      <c r="A24" s="19" t="s">
        <v>61</v>
      </c>
      <c r="B24" s="69" t="b">
        <v>0</v>
      </c>
      <c r="C24" s="70" t="s">
        <v>62</v>
      </c>
      <c r="D24" s="39"/>
      <c r="E24" s="19" t="s">
        <v>63</v>
      </c>
      <c r="F24" s="71"/>
      <c r="G24" s="24"/>
      <c r="H24" s="20"/>
    </row>
    <row r="25" spans="1:8" ht="14.25" customHeight="1" x14ac:dyDescent="0.3">
      <c r="A25" s="72"/>
      <c r="B25" s="73"/>
      <c r="C25" s="39"/>
      <c r="D25" s="39"/>
      <c r="E25" s="17" t="s">
        <v>64</v>
      </c>
      <c r="F25" s="74"/>
      <c r="G25" s="24"/>
      <c r="H25" s="20"/>
    </row>
    <row r="26" spans="1:8" ht="14.25" customHeight="1" x14ac:dyDescent="0.3">
      <c r="A26" s="65"/>
      <c r="B26" s="75"/>
      <c r="C26" s="39"/>
      <c r="D26" s="39"/>
      <c r="E26" s="76" t="s">
        <v>65</v>
      </c>
      <c r="F26" s="77"/>
      <c r="G26" s="24"/>
      <c r="H26" s="20"/>
    </row>
    <row r="27" spans="1:8" ht="44.25" customHeight="1" x14ac:dyDescent="0.3">
      <c r="A27" s="370" t="s">
        <v>66</v>
      </c>
      <c r="B27" s="371"/>
      <c r="C27" s="371"/>
      <c r="D27" s="371"/>
      <c r="E27" s="371"/>
      <c r="F27" s="372"/>
      <c r="G27" s="24"/>
      <c r="H27" s="20"/>
    </row>
    <row r="28" spans="1:8" ht="14.25" customHeight="1" x14ac:dyDescent="0.3">
      <c r="A28" s="19" t="s">
        <v>67</v>
      </c>
      <c r="B28" s="69"/>
      <c r="C28" s="19" t="s">
        <v>68</v>
      </c>
      <c r="D28" s="69"/>
      <c r="E28" s="19" t="s">
        <v>69</v>
      </c>
      <c r="F28" s="71"/>
      <c r="G28" s="24"/>
      <c r="H28" s="20"/>
    </row>
    <row r="29" spans="1:8" ht="14.25" customHeight="1" x14ac:dyDescent="0.3">
      <c r="A29" s="72" t="s">
        <v>70</v>
      </c>
      <c r="B29" s="78" t="b">
        <v>0</v>
      </c>
      <c r="C29" s="19" t="s">
        <v>16</v>
      </c>
      <c r="D29" s="71"/>
      <c r="E29" s="17" t="s">
        <v>71</v>
      </c>
      <c r="F29" s="74"/>
      <c r="G29" s="24"/>
      <c r="H29" s="20"/>
    </row>
    <row r="30" spans="1:8" ht="60" customHeight="1" x14ac:dyDescent="0.3">
      <c r="A30" s="79" t="s">
        <v>53</v>
      </c>
      <c r="B30" s="78" t="b">
        <v>0</v>
      </c>
      <c r="C30" s="45" t="s">
        <v>22</v>
      </c>
      <c r="D30" s="8" t="s">
        <v>72</v>
      </c>
      <c r="E30" s="17" t="s">
        <v>73</v>
      </c>
      <c r="F30" s="74"/>
      <c r="G30" s="24"/>
      <c r="H30" s="20"/>
    </row>
    <row r="31" spans="1:8" ht="15.75" customHeight="1" x14ac:dyDescent="0.3">
      <c r="A31" s="21" t="s">
        <v>26</v>
      </c>
      <c r="B31" s="78" t="b">
        <v>0</v>
      </c>
      <c r="C31" s="80" t="s">
        <v>22</v>
      </c>
      <c r="D31" s="81" t="s">
        <v>74</v>
      </c>
      <c r="E31" s="17" t="s">
        <v>75</v>
      </c>
      <c r="F31" s="74"/>
      <c r="G31" s="24"/>
      <c r="H31" s="20"/>
    </row>
    <row r="32" spans="1:8" ht="14.25" customHeight="1" x14ac:dyDescent="0.3">
      <c r="A32" s="65" t="s">
        <v>76</v>
      </c>
      <c r="B32" s="82" t="b">
        <v>0</v>
      </c>
      <c r="C32" s="34" t="s">
        <v>27</v>
      </c>
      <c r="D32" s="83" t="s">
        <v>77</v>
      </c>
      <c r="E32" s="76" t="s">
        <v>78</v>
      </c>
      <c r="F32" s="77"/>
      <c r="G32" s="24"/>
      <c r="H32" s="20"/>
    </row>
    <row r="33" spans="1:8" ht="14.25" customHeight="1" x14ac:dyDescent="0.3">
      <c r="A33" s="370" t="s">
        <v>79</v>
      </c>
      <c r="B33" s="371"/>
      <c r="C33" s="371"/>
      <c r="D33" s="371"/>
      <c r="E33" s="371"/>
      <c r="F33" s="372"/>
      <c r="G33" s="24"/>
      <c r="H33" s="20"/>
    </row>
    <row r="34" spans="1:8" ht="14.25" customHeight="1" x14ac:dyDescent="0.3">
      <c r="A34" s="373" t="s">
        <v>80</v>
      </c>
      <c r="B34" s="371"/>
      <c r="C34" s="371"/>
      <c r="D34" s="371"/>
      <c r="E34" s="371"/>
      <c r="F34" s="372"/>
      <c r="G34" s="24"/>
      <c r="H34" s="20"/>
    </row>
    <row r="35" spans="1:8" ht="14.25" customHeight="1" x14ac:dyDescent="0.3">
      <c r="A35" s="84" t="s">
        <v>81</v>
      </c>
      <c r="B35" s="85">
        <v>5</v>
      </c>
      <c r="C35" s="86" t="s">
        <v>82</v>
      </c>
      <c r="D35" s="85">
        <v>20</v>
      </c>
      <c r="E35" s="87" t="s">
        <v>83</v>
      </c>
      <c r="F35" s="88">
        <v>12.5</v>
      </c>
      <c r="G35" s="24"/>
      <c r="H35" s="20"/>
    </row>
    <row r="36" spans="1:8" ht="14.25" customHeight="1" x14ac:dyDescent="0.3">
      <c r="A36" s="46" t="s">
        <v>84</v>
      </c>
      <c r="B36" s="85">
        <v>4.5</v>
      </c>
      <c r="C36" s="89" t="s">
        <v>85</v>
      </c>
      <c r="D36" s="85">
        <v>5.3</v>
      </c>
      <c r="E36" s="90" t="s">
        <v>86</v>
      </c>
      <c r="F36" s="88">
        <v>7.2</v>
      </c>
      <c r="G36" s="24"/>
      <c r="H36" s="20"/>
    </row>
    <row r="37" spans="1:8" ht="15" customHeight="1" x14ac:dyDescent="0.3">
      <c r="A37" s="373" t="s">
        <v>87</v>
      </c>
      <c r="B37" s="371"/>
      <c r="C37" s="371"/>
      <c r="D37" s="371"/>
      <c r="E37" s="371"/>
      <c r="F37" s="372"/>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x14ac:dyDescent="0.3">
      <c r="A41" s="48" t="s">
        <v>97</v>
      </c>
      <c r="B41" s="85">
        <v>18</v>
      </c>
      <c r="C41" s="89" t="s">
        <v>92</v>
      </c>
      <c r="D41" s="85">
        <v>30</v>
      </c>
      <c r="E41" s="89"/>
      <c r="F41" s="88"/>
      <c r="G41" s="24"/>
      <c r="H41" s="20"/>
    </row>
    <row r="42" spans="1:8" ht="22.5" customHeight="1" x14ac:dyDescent="0.3">
      <c r="A42" s="373" t="s">
        <v>98</v>
      </c>
      <c r="B42" s="371"/>
      <c r="C42" s="371"/>
      <c r="D42" s="371"/>
      <c r="E42" s="371"/>
      <c r="F42" s="372"/>
      <c r="G42" s="24"/>
      <c r="H42" s="20"/>
    </row>
    <row r="43" spans="1:8" ht="14.25" customHeight="1" x14ac:dyDescent="0.3">
      <c r="A43" s="48" t="s">
        <v>99</v>
      </c>
      <c r="B43" s="85">
        <v>1.2</v>
      </c>
      <c r="C43" s="89" t="s">
        <v>100</v>
      </c>
      <c r="D43" s="85">
        <v>0.8</v>
      </c>
      <c r="E43" s="89" t="s">
        <v>101</v>
      </c>
      <c r="F43" s="88">
        <v>1.2</v>
      </c>
      <c r="G43" s="24"/>
      <c r="H43" s="20"/>
    </row>
    <row r="44" spans="1:8" ht="14.25" customHeight="1" x14ac:dyDescent="0.3">
      <c r="A44" s="48" t="s">
        <v>102</v>
      </c>
      <c r="B44" s="85">
        <v>25</v>
      </c>
      <c r="C44" s="89" t="s">
        <v>103</v>
      </c>
      <c r="D44" s="85">
        <v>2</v>
      </c>
      <c r="E44" s="89" t="s">
        <v>104</v>
      </c>
      <c r="F44" s="88">
        <v>9</v>
      </c>
      <c r="G44" s="24"/>
      <c r="H44" s="20"/>
    </row>
    <row r="45" spans="1:8" ht="14.25" customHeight="1" x14ac:dyDescent="0.3">
      <c r="A45" s="370" t="s">
        <v>105</v>
      </c>
      <c r="B45" s="371"/>
      <c r="C45" s="371"/>
      <c r="D45" s="371"/>
      <c r="E45" s="371"/>
      <c r="F45" s="372"/>
      <c r="G45" s="24"/>
      <c r="H45" s="20"/>
    </row>
    <row r="46" spans="1:8" ht="14.25" customHeight="1" x14ac:dyDescent="0.3">
      <c r="A46" s="19" t="s">
        <v>106</v>
      </c>
      <c r="B46" s="69" t="b">
        <v>0</v>
      </c>
      <c r="C46" s="45" t="s">
        <v>107</v>
      </c>
      <c r="D46" s="8" t="s">
        <v>108</v>
      </c>
      <c r="E46" s="19" t="s">
        <v>109</v>
      </c>
      <c r="F46" s="71"/>
      <c r="G46" s="24"/>
      <c r="H46" s="20"/>
    </row>
    <row r="47" spans="1:8" ht="29.25" customHeight="1" x14ac:dyDescent="0.3">
      <c r="A47" s="58" t="s">
        <v>36</v>
      </c>
      <c r="B47" s="91" t="b">
        <v>0</v>
      </c>
      <c r="C47" s="45" t="s">
        <v>110</v>
      </c>
      <c r="D47" s="8" t="s">
        <v>111</v>
      </c>
      <c r="E47" s="48"/>
      <c r="F47" s="92"/>
      <c r="G47" s="24"/>
      <c r="H47" s="20"/>
    </row>
    <row r="48" spans="1:8" ht="65.25" customHeight="1" x14ac:dyDescent="0.3">
      <c r="A48" s="370" t="s">
        <v>112</v>
      </c>
      <c r="B48" s="371"/>
      <c r="C48" s="371"/>
      <c r="D48" s="371"/>
      <c r="E48" s="371"/>
      <c r="F48" s="372"/>
      <c r="G48" s="24"/>
      <c r="H48" s="20"/>
    </row>
    <row r="49" spans="1:8" ht="14.25" customHeight="1" x14ac:dyDescent="0.3">
      <c r="A49" s="93" t="s">
        <v>113</v>
      </c>
      <c r="B49" s="11"/>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c r="B51" s="98"/>
      <c r="C51" s="98"/>
      <c r="D51" s="98"/>
      <c r="E51" s="98"/>
      <c r="F51" s="99"/>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c r="B53" s="98"/>
      <c r="C53" s="98"/>
      <c r="D53" s="98"/>
      <c r="E53" s="98"/>
      <c r="F53" s="99"/>
      <c r="G53" s="24"/>
      <c r="H53" s="20"/>
    </row>
    <row r="54" spans="1:8" ht="44.25" customHeight="1" x14ac:dyDescent="0.3">
      <c r="A54" s="100" t="s">
        <v>126</v>
      </c>
      <c r="B54" s="101" t="s">
        <v>127</v>
      </c>
      <c r="C54" s="101" t="s">
        <v>128</v>
      </c>
      <c r="D54" s="103"/>
      <c r="E54" s="103"/>
      <c r="F54" s="104"/>
      <c r="G54" s="24"/>
      <c r="H54" s="20"/>
    </row>
    <row r="55" spans="1:8" ht="57" customHeight="1" x14ac:dyDescent="0.3">
      <c r="A55" s="105"/>
      <c r="B55" s="106"/>
      <c r="C55" s="107"/>
      <c r="D55" s="108"/>
      <c r="E55" s="109"/>
      <c r="F55" s="109"/>
      <c r="G55" s="110"/>
      <c r="H55" s="111"/>
    </row>
    <row r="56" spans="1:8" ht="27" customHeight="1" x14ac:dyDescent="0.3">
      <c r="A56" s="112" t="s">
        <v>129</v>
      </c>
      <c r="B56" s="45" t="s">
        <v>130</v>
      </c>
      <c r="C56" s="113" t="s">
        <v>138</v>
      </c>
      <c r="D56" s="45" t="s">
        <v>131</v>
      </c>
      <c r="E56" s="113">
        <v>1</v>
      </c>
    </row>
    <row r="57" spans="1:8" ht="22.5" customHeight="1" x14ac:dyDescent="0.3">
      <c r="A57" s="112" t="s">
        <v>132</v>
      </c>
      <c r="B57" s="80" t="s">
        <v>133</v>
      </c>
      <c r="C57" s="114" t="s">
        <v>486</v>
      </c>
      <c r="D57" s="80" t="s">
        <v>134</v>
      </c>
      <c r="E57" s="114" t="s">
        <v>978</v>
      </c>
    </row>
    <row r="58" spans="1:8" ht="28.8" x14ac:dyDescent="0.3">
      <c r="A58" s="2" t="s">
        <v>135</v>
      </c>
      <c r="B58" s="115" t="s">
        <v>136</v>
      </c>
      <c r="C58" s="116">
        <v>2560</v>
      </c>
      <c r="D58" s="115" t="s">
        <v>137</v>
      </c>
      <c r="E58" s="117" t="s">
        <v>979</v>
      </c>
    </row>
    <row r="59" spans="1:8" ht="14.25" customHeight="1" x14ac:dyDescent="0.3"/>
    <row r="60" spans="1:8" ht="14.25" customHeight="1" x14ac:dyDescent="0.3">
      <c r="B60" s="118"/>
    </row>
    <row r="61" spans="1:8" ht="14.25" customHeight="1" x14ac:dyDescent="0.3">
      <c r="C61" s="481"/>
    </row>
    <row r="62" spans="1:8" ht="14.25" customHeight="1" x14ac:dyDescent="0.3"/>
    <row r="63" spans="1:8" ht="14.25" customHeight="1" x14ac:dyDescent="0.3"/>
    <row r="64" spans="1:8" ht="14.25" customHeight="1" x14ac:dyDescent="0.3">
      <c r="B64" s="119"/>
    </row>
    <row r="65" spans="2:5" ht="14.25" customHeight="1" x14ac:dyDescent="0.3"/>
    <row r="66" spans="2:5" ht="14.25" customHeight="1" x14ac:dyDescent="0.3">
      <c r="D66" s="118"/>
      <c r="E66" s="118"/>
    </row>
    <row r="67" spans="2:5" ht="14.25" customHeight="1" x14ac:dyDescent="0.3"/>
    <row r="68" spans="2:5" ht="14.25" customHeight="1" x14ac:dyDescent="0.3"/>
    <row r="69" spans="2:5" ht="14.25" customHeight="1" x14ac:dyDescent="0.3"/>
    <row r="70" spans="2:5" ht="14.25" customHeight="1" x14ac:dyDescent="0.3"/>
    <row r="71" spans="2:5" ht="14.25" customHeight="1" x14ac:dyDescent="0.3"/>
    <row r="72" spans="2:5" ht="14.25" customHeight="1" x14ac:dyDescent="0.3"/>
    <row r="73" spans="2:5" ht="14.25" customHeight="1" x14ac:dyDescent="0.3"/>
    <row r="74" spans="2:5" ht="14.25" customHeight="1" x14ac:dyDescent="0.3">
      <c r="B74" s="120"/>
    </row>
    <row r="75" spans="2:5" ht="14.25" customHeight="1" x14ac:dyDescent="0.3"/>
    <row r="76" spans="2:5" ht="14.25" customHeight="1" x14ac:dyDescent="0.3"/>
    <row r="77" spans="2:5" ht="14.25" customHeight="1" x14ac:dyDescent="0.3"/>
    <row r="78" spans="2:5" ht="14.25" customHeight="1" x14ac:dyDescent="0.3"/>
    <row r="79" spans="2:5" ht="14.25" customHeight="1" x14ac:dyDescent="0.3"/>
    <row r="80" spans="2:5"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2">
    <mergeCell ref="A1:F1"/>
    <mergeCell ref="A4:F5"/>
    <mergeCell ref="A6:F6"/>
    <mergeCell ref="A45:F45"/>
    <mergeCell ref="A48:F48"/>
    <mergeCell ref="J9:K9"/>
    <mergeCell ref="A23:F23"/>
    <mergeCell ref="A34:F34"/>
    <mergeCell ref="A37:F37"/>
    <mergeCell ref="A42:F42"/>
    <mergeCell ref="A27:F27"/>
    <mergeCell ref="A33:F33"/>
  </mergeCells>
  <dataValidations count="2">
    <dataValidation type="decimal" allowBlank="1" showErrorMessage="1" sqref="D2" xr:uid="{00000000-0002-0000-0000-000004000000}">
      <formula1>0</formula1>
      <formula2>10000000000000</formula2>
    </dataValidation>
    <dataValidation type="list" allowBlank="1" showErrorMessage="1" sqref="J8" xr:uid="{00000000-0002-0000-0000-000005000000}">
      <formula1>#REF!</formula1>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Listas!$C$2:$C$9</xm:f>
          </x14:formula1>
          <xm:sqref>C57</xm:sqref>
        </x14:dataValidation>
        <x14:dataValidation type="list" allowBlank="1" showErrorMessage="1" xr:uid="{00000000-0002-0000-0000-000001000000}">
          <x14:formula1>
            <xm:f>Listas!$M$2:$M$5</xm:f>
          </x14:formula1>
          <xm:sqref>B14:B15</xm:sqref>
        </x14:dataValidation>
        <x14:dataValidation type="list" allowBlank="1" showErrorMessage="1" xr:uid="{00000000-0002-0000-0000-000002000000}">
          <x14:formula1>
            <xm:f>Listas!$A$2:$A$6</xm:f>
          </x14:formula1>
          <xm:sqref>B2 C56</xm:sqref>
        </x14:dataValidation>
        <x14:dataValidation type="list" allowBlank="1" showErrorMessage="1" xr:uid="{00000000-0002-0000-0000-000003000000}">
          <x14:formula1>
            <xm:f>Listas!$E$2:$E$3</xm:f>
          </x14:formula1>
          <xm:sqref>B3</xm:sqref>
        </x14:dataValidation>
        <x14:dataValidation type="list" allowBlank="1" showErrorMessage="1" xr:uid="{00000000-0002-0000-0000-000006000000}">
          <x14:formula1>
            <xm:f>Listas!$I$2:$I$3</xm:f>
          </x14:formula1>
          <xm:sqref>D3</xm:sqref>
        </x14:dataValidation>
        <x14:dataValidation type="list" allowBlank="1" showErrorMessage="1" xr:uid="{00000000-0002-0000-0000-000007000000}">
          <x14:formula1>
            <xm:f>Listas!$G$2:$G$3</xm:f>
          </x14:formula1>
          <xm:sqref>B9:B12 B16:B22 B24 B29:B32 B46:B47 B64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13F7-8F08-44F4-AF8E-53447DFAD2D2}">
  <sheetPr codeName="Hoja42">
    <tabColor rgb="FF3498DB"/>
    <pageSetUpPr fitToPage="1"/>
  </sheetPr>
  <dimension ref="A1:K1000"/>
  <sheetViews>
    <sheetView workbookViewId="0">
      <selection activeCell="C10" sqref="C10"/>
    </sheetView>
  </sheetViews>
  <sheetFormatPr baseColWidth="10" defaultColWidth="0" defaultRowHeight="15" customHeight="1" zero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hidden="1" customWidth="1"/>
    <col min="10" max="10" width="8.88671875" hidden="1" customWidth="1"/>
    <col min="11" max="16384" width="14.44140625" hidden="1"/>
  </cols>
  <sheetData>
    <row r="1" spans="1:11" ht="35.25" customHeight="1" thickBot="1" x14ac:dyDescent="0.35">
      <c r="A1" s="374" t="s">
        <v>0</v>
      </c>
      <c r="B1" s="375"/>
      <c r="C1" s="375"/>
      <c r="D1" s="375"/>
      <c r="E1" s="375"/>
      <c r="F1" s="369"/>
      <c r="G1" s="1" t="s">
        <v>1</v>
      </c>
      <c r="H1" s="2" t="s">
        <v>2</v>
      </c>
    </row>
    <row r="2" spans="1:11" ht="14.25" customHeight="1" x14ac:dyDescent="0.3">
      <c r="A2" s="3" t="s">
        <v>3</v>
      </c>
      <c r="B2" s="4" t="s">
        <v>138</v>
      </c>
      <c r="C2" s="5" t="s">
        <v>4</v>
      </c>
      <c r="D2" s="6">
        <v>250</v>
      </c>
      <c r="E2" s="5" t="s">
        <v>5</v>
      </c>
      <c r="F2" s="7" t="str" cm="1">
        <f t="array" ref="F2">INDEX(_xlfn._xlws.FILTER(Listas!$C$2:$C$9,Listas!$B$2:$B$9&lt;&gt;""),MATCH(1,(VALUE(_xlfn._xlws.FILTER(Listas!$B$2:$B$9,Listas!$B$2:$B$9&lt;&gt;""))&gt;=D2)*1,0))</f>
        <v>Bajo 1</v>
      </c>
      <c r="G2" s="8" t="s">
        <v>6</v>
      </c>
      <c r="H2" s="9"/>
    </row>
    <row r="3" spans="1:11" ht="14.25" customHeight="1" thickBot="1" x14ac:dyDescent="0.35">
      <c r="A3" s="10" t="s">
        <v>7</v>
      </c>
      <c r="B3" s="11" t="s">
        <v>139</v>
      </c>
      <c r="C3" s="12" t="s">
        <v>8</v>
      </c>
      <c r="D3" s="11" t="s">
        <v>236</v>
      </c>
      <c r="E3" s="12" t="s">
        <v>9</v>
      </c>
      <c r="F3" s="11">
        <v>250</v>
      </c>
      <c r="G3" s="13" t="s">
        <v>972</v>
      </c>
      <c r="H3" s="14"/>
    </row>
    <row r="4" spans="1:11" ht="18" customHeight="1" x14ac:dyDescent="0.3">
      <c r="A4" s="376" t="s">
        <v>10</v>
      </c>
      <c r="B4" s="377"/>
      <c r="C4" s="377"/>
      <c r="D4" s="377"/>
      <c r="E4" s="377"/>
      <c r="F4" s="378"/>
      <c r="G4" s="8" t="s">
        <v>11</v>
      </c>
      <c r="H4" s="14"/>
    </row>
    <row r="5" spans="1:11" ht="15" customHeight="1" thickBot="1" x14ac:dyDescent="0.35">
      <c r="A5" s="379"/>
      <c r="B5" s="380"/>
      <c r="C5" s="380"/>
      <c r="D5" s="380"/>
      <c r="E5" s="380"/>
      <c r="F5" s="381"/>
      <c r="G5" s="15" t="s">
        <v>973</v>
      </c>
      <c r="H5" s="14"/>
    </row>
    <row r="6" spans="1:11" ht="14.25" customHeight="1" thickBot="1" x14ac:dyDescent="0.35">
      <c r="A6" s="382" t="s">
        <v>12</v>
      </c>
      <c r="B6" s="375"/>
      <c r="C6" s="375"/>
      <c r="D6" s="375"/>
      <c r="E6" s="375"/>
      <c r="F6" s="383"/>
      <c r="G6" s="367" t="s">
        <v>976</v>
      </c>
      <c r="H6" s="2" t="s">
        <v>13</v>
      </c>
    </row>
    <row r="7" spans="1:11" ht="14.25" customHeight="1" thickBot="1" x14ac:dyDescent="0.35">
      <c r="A7" s="3" t="s">
        <v>14</v>
      </c>
      <c r="B7" s="16">
        <v>25</v>
      </c>
      <c r="C7" s="17" t="s">
        <v>15</v>
      </c>
      <c r="D7" s="18">
        <v>12000</v>
      </c>
      <c r="E7" s="19" t="s">
        <v>16</v>
      </c>
      <c r="F7" s="18" t="s">
        <v>141</v>
      </c>
      <c r="G7" s="2" t="s">
        <v>17</v>
      </c>
      <c r="H7" s="20"/>
    </row>
    <row r="8" spans="1:11" ht="14.25" customHeight="1" thickBot="1" x14ac:dyDescent="0.35">
      <c r="A8" s="21" t="s">
        <v>18</v>
      </c>
      <c r="B8" s="22">
        <v>20</v>
      </c>
      <c r="C8" s="17" t="s">
        <v>19</v>
      </c>
      <c r="D8" s="23" t="s">
        <v>156</v>
      </c>
      <c r="E8" s="17" t="s">
        <v>20</v>
      </c>
      <c r="F8" s="23">
        <v>12000</v>
      </c>
      <c r="G8" s="24"/>
      <c r="H8" s="20"/>
      <c r="J8" s="25"/>
    </row>
    <row r="9" spans="1:11" ht="43.8" thickBot="1" x14ac:dyDescent="0.35">
      <c r="A9" s="17" t="s">
        <v>21</v>
      </c>
      <c r="B9" s="26" t="b">
        <v>0</v>
      </c>
      <c r="C9" s="27" t="s">
        <v>22</v>
      </c>
      <c r="D9" s="28" t="s">
        <v>23</v>
      </c>
      <c r="E9" s="17" t="s">
        <v>24</v>
      </c>
      <c r="F9" s="29" t="s">
        <v>156</v>
      </c>
      <c r="G9" s="24"/>
      <c r="H9" s="20"/>
      <c r="J9" s="368" t="s">
        <v>25</v>
      </c>
      <c r="K9" s="369"/>
    </row>
    <row r="10" spans="1:11" ht="21" customHeight="1" x14ac:dyDescent="0.3">
      <c r="A10" s="21" t="s">
        <v>26</v>
      </c>
      <c r="B10" s="26" t="b">
        <v>0</v>
      </c>
      <c r="C10" s="30" t="s">
        <v>27</v>
      </c>
      <c r="D10" s="31" t="s">
        <v>28</v>
      </c>
      <c r="E10" s="17" t="s">
        <v>29</v>
      </c>
      <c r="F10" s="29" t="s">
        <v>157</v>
      </c>
      <c r="G10" s="24"/>
      <c r="H10" s="20"/>
      <c r="J10" s="32"/>
      <c r="K10" s="33" t="s">
        <v>30</v>
      </c>
    </row>
    <row r="11" spans="1:11" ht="15" customHeight="1" thickBot="1" x14ac:dyDescent="0.35">
      <c r="A11" s="21" t="s">
        <v>31</v>
      </c>
      <c r="B11" s="26" t="b">
        <v>0</v>
      </c>
      <c r="C11" s="34" t="s">
        <v>32</v>
      </c>
      <c r="D11" s="35" t="s">
        <v>33</v>
      </c>
      <c r="E11" s="17" t="s">
        <v>34</v>
      </c>
      <c r="F11" s="29" t="s">
        <v>158</v>
      </c>
      <c r="G11" s="24"/>
      <c r="H11" s="20"/>
      <c r="J11" s="36"/>
      <c r="K11" s="37" t="s">
        <v>35</v>
      </c>
    </row>
    <row r="12" spans="1:11" ht="28.5" customHeight="1" x14ac:dyDescent="0.3">
      <c r="A12" s="38" t="s">
        <v>36</v>
      </c>
      <c r="B12" s="26" t="b">
        <v>0</v>
      </c>
      <c r="C12" s="39"/>
      <c r="D12" s="39"/>
      <c r="E12" s="17" t="s">
        <v>37</v>
      </c>
      <c r="F12" s="29" t="s">
        <v>156</v>
      </c>
      <c r="G12" s="24"/>
      <c r="H12" s="20"/>
      <c r="J12" s="40"/>
      <c r="K12" s="37" t="s">
        <v>38</v>
      </c>
    </row>
    <row r="13" spans="1:11" ht="14.25" customHeight="1" thickBot="1" x14ac:dyDescent="0.35">
      <c r="A13" s="21" t="s">
        <v>39</v>
      </c>
      <c r="B13" s="41"/>
      <c r="C13" s="39"/>
      <c r="D13" s="39"/>
      <c r="E13" s="17" t="s">
        <v>40</v>
      </c>
      <c r="F13" s="29" t="s">
        <v>157</v>
      </c>
      <c r="G13" s="24"/>
      <c r="H13" s="20"/>
      <c r="J13" s="42"/>
      <c r="K13" s="43" t="s">
        <v>41</v>
      </c>
    </row>
    <row r="14" spans="1:11" ht="14.25" customHeight="1" thickBot="1" x14ac:dyDescent="0.35">
      <c r="A14" s="21" t="s">
        <v>42</v>
      </c>
      <c r="B14" s="44" t="s">
        <v>145</v>
      </c>
      <c r="C14" s="45" t="s">
        <v>43</v>
      </c>
      <c r="D14" s="39"/>
      <c r="E14" s="17" t="s">
        <v>44</v>
      </c>
      <c r="F14" s="29" t="s">
        <v>146</v>
      </c>
      <c r="G14" s="24"/>
      <c r="H14" s="20"/>
    </row>
    <row r="15" spans="1:11" ht="14.25" customHeight="1" thickBot="1" x14ac:dyDescent="0.35">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thickBot="1" x14ac:dyDescent="0.35">
      <c r="A21" s="21" t="s">
        <v>55</v>
      </c>
      <c r="B21" s="56" t="b">
        <v>0</v>
      </c>
      <c r="C21" s="57" t="s">
        <v>56</v>
      </c>
      <c r="D21" s="39"/>
      <c r="E21" s="58"/>
      <c r="F21" s="60"/>
      <c r="G21" s="55"/>
      <c r="H21" s="14"/>
    </row>
    <row r="22" spans="1:8" ht="15" customHeight="1" thickBot="1" x14ac:dyDescent="0.35">
      <c r="A22" s="10" t="s">
        <v>57</v>
      </c>
      <c r="B22" s="62" t="b">
        <v>0</v>
      </c>
      <c r="C22" s="63" t="s">
        <v>58</v>
      </c>
      <c r="D22" s="64"/>
      <c r="E22" s="65"/>
      <c r="F22" s="66"/>
      <c r="G22" s="67" t="s">
        <v>59</v>
      </c>
      <c r="H22" s="14"/>
    </row>
    <row r="23" spans="1:8" ht="67.5" customHeight="1" thickBot="1" x14ac:dyDescent="0.35">
      <c r="A23" s="370" t="s">
        <v>60</v>
      </c>
      <c r="B23" s="371"/>
      <c r="C23" s="371"/>
      <c r="D23" s="371"/>
      <c r="E23" s="371"/>
      <c r="F23" s="372"/>
      <c r="G23" s="68"/>
      <c r="H23" s="20"/>
    </row>
    <row r="24" spans="1:8" ht="14.25" customHeight="1" x14ac:dyDescent="0.3">
      <c r="A24" s="19" t="s">
        <v>61</v>
      </c>
      <c r="B24" s="69" t="b">
        <v>0</v>
      </c>
      <c r="C24" s="70" t="s">
        <v>62</v>
      </c>
      <c r="D24" s="39"/>
      <c r="E24" s="19" t="s">
        <v>63</v>
      </c>
      <c r="F24" s="71" t="s">
        <v>526</v>
      </c>
      <c r="G24" s="24"/>
      <c r="H24" s="20"/>
    </row>
    <row r="25" spans="1:8" ht="14.25" customHeight="1" x14ac:dyDescent="0.3">
      <c r="A25" s="72"/>
      <c r="B25" s="73"/>
      <c r="C25" s="39"/>
      <c r="D25" s="39"/>
      <c r="E25" s="17" t="s">
        <v>64</v>
      </c>
      <c r="F25" s="74" t="s">
        <v>561</v>
      </c>
      <c r="G25" s="24"/>
      <c r="H25" s="20"/>
    </row>
    <row r="26" spans="1:8" ht="14.25" customHeight="1" thickBot="1" x14ac:dyDescent="0.35">
      <c r="A26" s="65"/>
      <c r="B26" s="75"/>
      <c r="C26" s="39"/>
      <c r="D26" s="39"/>
      <c r="E26" s="76" t="s">
        <v>65</v>
      </c>
      <c r="F26" s="77" t="s">
        <v>561</v>
      </c>
      <c r="G26" s="24"/>
      <c r="H26" s="20"/>
    </row>
    <row r="27" spans="1:8" ht="44.25" customHeight="1" thickBot="1" x14ac:dyDescent="0.35">
      <c r="A27" s="370" t="s">
        <v>66</v>
      </c>
      <c r="B27" s="371"/>
      <c r="C27" s="371"/>
      <c r="D27" s="371"/>
      <c r="E27" s="371"/>
      <c r="F27" s="372"/>
      <c r="G27" s="24"/>
      <c r="H27" s="20"/>
    </row>
    <row r="28" spans="1:8" ht="14.25" customHeight="1" thickBot="1" x14ac:dyDescent="0.35">
      <c r="A28" s="19" t="s">
        <v>67</v>
      </c>
      <c r="B28" s="69">
        <v>10</v>
      </c>
      <c r="C28" s="19" t="s">
        <v>68</v>
      </c>
      <c r="D28" s="69">
        <v>10</v>
      </c>
      <c r="E28" s="19" t="s">
        <v>69</v>
      </c>
      <c r="F28" s="71">
        <v>11</v>
      </c>
      <c r="G28" s="24"/>
      <c r="H28" s="20"/>
    </row>
    <row r="29" spans="1:8" ht="14.25" customHeight="1" thickBot="1" x14ac:dyDescent="0.35">
      <c r="A29" s="72" t="s">
        <v>70</v>
      </c>
      <c r="B29" s="78" t="b">
        <v>0</v>
      </c>
      <c r="C29" s="19" t="s">
        <v>16</v>
      </c>
      <c r="D29" s="71" t="s">
        <v>141</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50</v>
      </c>
      <c r="G31" s="24"/>
      <c r="H31" s="20"/>
    </row>
    <row r="32" spans="1:8" ht="14.25" customHeight="1" thickBot="1" x14ac:dyDescent="0.35">
      <c r="A32" s="65" t="s">
        <v>76</v>
      </c>
      <c r="B32" s="82" t="b">
        <v>0</v>
      </c>
      <c r="C32" s="34" t="s">
        <v>27</v>
      </c>
      <c r="D32" s="83" t="s">
        <v>77</v>
      </c>
      <c r="E32" s="76" t="s">
        <v>78</v>
      </c>
      <c r="F32" s="77">
        <v>65</v>
      </c>
      <c r="G32" s="24"/>
      <c r="H32" s="20"/>
    </row>
    <row r="33" spans="1:8" ht="14.25" customHeight="1" thickBot="1" x14ac:dyDescent="0.35">
      <c r="A33" s="370" t="s">
        <v>79</v>
      </c>
      <c r="B33" s="371"/>
      <c r="C33" s="371"/>
      <c r="D33" s="371"/>
      <c r="E33" s="371"/>
      <c r="F33" s="372"/>
      <c r="G33" s="24"/>
      <c r="H33" s="20"/>
    </row>
    <row r="34" spans="1:8" ht="14.25" customHeight="1" thickBot="1" x14ac:dyDescent="0.35">
      <c r="A34" s="373" t="s">
        <v>80</v>
      </c>
      <c r="B34" s="371"/>
      <c r="C34" s="371"/>
      <c r="D34" s="371"/>
      <c r="E34" s="371"/>
      <c r="F34" s="372"/>
      <c r="G34" s="24"/>
      <c r="H34" s="20"/>
    </row>
    <row r="35" spans="1:8" ht="14.25" customHeight="1" x14ac:dyDescent="0.3">
      <c r="A35" s="84" t="s">
        <v>81</v>
      </c>
      <c r="B35" s="85">
        <v>5</v>
      </c>
      <c r="C35" s="86" t="s">
        <v>82</v>
      </c>
      <c r="D35" s="85">
        <v>20</v>
      </c>
      <c r="E35" s="87" t="s">
        <v>83</v>
      </c>
      <c r="F35" s="88">
        <v>12.5</v>
      </c>
      <c r="G35" s="24"/>
      <c r="H35" s="20"/>
    </row>
    <row r="36" spans="1:8" ht="14.25" customHeight="1" thickBot="1" x14ac:dyDescent="0.35">
      <c r="A36" s="46" t="s">
        <v>84</v>
      </c>
      <c r="B36" s="85">
        <v>4.5</v>
      </c>
      <c r="C36" s="89" t="s">
        <v>85</v>
      </c>
      <c r="D36" s="85">
        <v>5.3</v>
      </c>
      <c r="E36" s="90" t="s">
        <v>86</v>
      </c>
      <c r="F36" s="88">
        <v>7.2</v>
      </c>
      <c r="G36" s="24"/>
      <c r="H36" s="20"/>
    </row>
    <row r="37" spans="1:8" ht="15" customHeight="1" thickBot="1" x14ac:dyDescent="0.35">
      <c r="A37" s="373" t="s">
        <v>87</v>
      </c>
      <c r="B37" s="371"/>
      <c r="C37" s="371"/>
      <c r="D37" s="371"/>
      <c r="E37" s="371"/>
      <c r="F37" s="372"/>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thickBot="1" x14ac:dyDescent="0.35">
      <c r="A41" s="48" t="s">
        <v>97</v>
      </c>
      <c r="B41" s="85">
        <v>18</v>
      </c>
      <c r="C41" s="89" t="s">
        <v>92</v>
      </c>
      <c r="D41" s="85">
        <v>30</v>
      </c>
      <c r="E41" s="89"/>
      <c r="F41" s="88"/>
      <c r="G41" s="24"/>
      <c r="H41" s="20"/>
    </row>
    <row r="42" spans="1:8" ht="22.5" customHeight="1" thickBot="1" x14ac:dyDescent="0.35">
      <c r="A42" s="373" t="s">
        <v>98</v>
      </c>
      <c r="B42" s="371"/>
      <c r="C42" s="371"/>
      <c r="D42" s="371"/>
      <c r="E42" s="371"/>
      <c r="F42" s="372"/>
      <c r="G42" s="24"/>
      <c r="H42" s="20"/>
    </row>
    <row r="43" spans="1:8" ht="14.25" customHeight="1" x14ac:dyDescent="0.3">
      <c r="A43" s="48" t="s">
        <v>99</v>
      </c>
      <c r="B43" s="85">
        <v>1.2</v>
      </c>
      <c r="C43" s="89" t="s">
        <v>100</v>
      </c>
      <c r="D43" s="85">
        <v>0.8</v>
      </c>
      <c r="E43" s="89" t="s">
        <v>101</v>
      </c>
      <c r="F43" s="88">
        <v>1.2</v>
      </c>
      <c r="G43" s="24"/>
      <c r="H43" s="20"/>
    </row>
    <row r="44" spans="1:8" ht="14.25" customHeight="1" thickBot="1" x14ac:dyDescent="0.35">
      <c r="A44" s="48" t="s">
        <v>102</v>
      </c>
      <c r="B44" s="85">
        <v>25</v>
      </c>
      <c r="C44" s="89" t="s">
        <v>103</v>
      </c>
      <c r="D44" s="85">
        <v>2</v>
      </c>
      <c r="E44" s="89" t="s">
        <v>104</v>
      </c>
      <c r="F44" s="88">
        <v>9</v>
      </c>
      <c r="G44" s="24"/>
      <c r="H44" s="20"/>
    </row>
    <row r="45" spans="1:8" ht="14.25" customHeight="1" thickBot="1" x14ac:dyDescent="0.35">
      <c r="A45" s="370" t="s">
        <v>105</v>
      </c>
      <c r="B45" s="371"/>
      <c r="C45" s="371"/>
      <c r="D45" s="371"/>
      <c r="E45" s="371"/>
      <c r="F45" s="372"/>
      <c r="G45" s="24"/>
      <c r="H45" s="20"/>
    </row>
    <row r="46" spans="1:8" ht="14.25" customHeight="1" thickBot="1" x14ac:dyDescent="0.35">
      <c r="A46" s="19" t="s">
        <v>106</v>
      </c>
      <c r="B46" s="69" t="b">
        <v>0</v>
      </c>
      <c r="C46" s="45" t="s">
        <v>107</v>
      </c>
      <c r="D46" s="8" t="s">
        <v>108</v>
      </c>
      <c r="E46" s="19" t="s">
        <v>109</v>
      </c>
      <c r="F46" s="71" t="s">
        <v>159</v>
      </c>
      <c r="G46" s="24"/>
      <c r="H46" s="20"/>
    </row>
    <row r="47" spans="1:8" ht="29.25" customHeight="1" thickBot="1" x14ac:dyDescent="0.35">
      <c r="A47" s="58" t="s">
        <v>36</v>
      </c>
      <c r="B47" s="91" t="b">
        <v>0</v>
      </c>
      <c r="C47" s="45" t="s">
        <v>110</v>
      </c>
      <c r="D47" s="8" t="s">
        <v>111</v>
      </c>
      <c r="E47" s="48"/>
      <c r="F47" s="92"/>
      <c r="G47" s="24"/>
      <c r="H47" s="20"/>
    </row>
    <row r="48" spans="1:8" ht="65.25" customHeight="1" thickBot="1" x14ac:dyDescent="0.35">
      <c r="A48" s="370" t="s">
        <v>112</v>
      </c>
      <c r="B48" s="371"/>
      <c r="C48" s="371"/>
      <c r="D48" s="371"/>
      <c r="E48" s="371"/>
      <c r="F48" s="372"/>
      <c r="G48" s="24"/>
      <c r="H48" s="20"/>
    </row>
    <row r="49" spans="1:8" ht="14.25" customHeight="1" thickBot="1" x14ac:dyDescent="0.35">
      <c r="A49" s="93" t="s">
        <v>113</v>
      </c>
      <c r="B49" s="11">
        <v>5600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151</v>
      </c>
      <c r="B51" s="98" t="s">
        <v>151</v>
      </c>
      <c r="C51" s="98" t="s">
        <v>151</v>
      </c>
      <c r="D51" s="98" t="s">
        <v>151</v>
      </c>
      <c r="E51" s="98" t="s">
        <v>151</v>
      </c>
      <c r="F51" s="99">
        <v>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0</v>
      </c>
      <c r="B53" s="98" t="s">
        <v>975</v>
      </c>
      <c r="C53" s="98">
        <v>1</v>
      </c>
      <c r="D53" s="98" t="s">
        <v>974</v>
      </c>
      <c r="E53" s="98" t="s">
        <v>151</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151</v>
      </c>
      <c r="C55" s="107" t="s">
        <v>151</v>
      </c>
      <c r="D55" s="108"/>
      <c r="E55" s="109"/>
      <c r="F55" s="109"/>
      <c r="G55" s="110"/>
      <c r="H55" s="111"/>
    </row>
    <row r="56" spans="1:8" ht="27" hidden="1" customHeight="1" thickBot="1" x14ac:dyDescent="0.35">
      <c r="A56" s="112" t="s">
        <v>129</v>
      </c>
      <c r="B56" s="45" t="s">
        <v>130</v>
      </c>
      <c r="C56" s="113"/>
      <c r="D56" s="45" t="s">
        <v>131</v>
      </c>
      <c r="E56" s="113"/>
    </row>
    <row r="57" spans="1:8" ht="22.5" hidden="1" customHeight="1" thickBot="1" x14ac:dyDescent="0.35">
      <c r="A57" s="112" t="s">
        <v>132</v>
      </c>
      <c r="B57" s="80" t="s">
        <v>133</v>
      </c>
      <c r="C57" s="114"/>
      <c r="D57" s="80" t="s">
        <v>134</v>
      </c>
      <c r="E57" s="114"/>
    </row>
    <row r="58" spans="1:8" ht="14.25" hidden="1" customHeight="1" thickBot="1" x14ac:dyDescent="0.35">
      <c r="A58" s="2" t="s">
        <v>135</v>
      </c>
      <c r="B58" s="115" t="s">
        <v>136</v>
      </c>
      <c r="C58" s="116"/>
      <c r="D58" s="115" t="s">
        <v>137</v>
      </c>
      <c r="E58" s="117"/>
    </row>
    <row r="59" spans="1:8" ht="14.25" hidden="1" customHeight="1" x14ac:dyDescent="0.3"/>
    <row r="60" spans="1:8" ht="14.25" hidden="1" customHeight="1" x14ac:dyDescent="0.3">
      <c r="B60" s="118"/>
    </row>
    <row r="61" spans="1:8" ht="14.25" hidden="1" customHeight="1" x14ac:dyDescent="0.3"/>
    <row r="62" spans="1:8" ht="14.25" hidden="1" customHeight="1" x14ac:dyDescent="0.3"/>
    <row r="63" spans="1:8" ht="14.25" hidden="1" customHeight="1" x14ac:dyDescent="0.3"/>
    <row r="64" spans="1:8" ht="14.25" hidden="1" customHeight="1" x14ac:dyDescent="0.3">
      <c r="B64" s="119"/>
    </row>
    <row r="65" spans="2:5" ht="14.25" hidden="1" customHeight="1" x14ac:dyDescent="0.3"/>
    <row r="66" spans="2:5" ht="14.25" hidden="1" customHeight="1" x14ac:dyDescent="0.3">
      <c r="D66" s="118"/>
      <c r="E66" s="118"/>
    </row>
    <row r="67" spans="2:5" ht="14.25" hidden="1" customHeight="1" x14ac:dyDescent="0.3"/>
    <row r="68" spans="2:5" ht="14.25" hidden="1" customHeight="1" x14ac:dyDescent="0.3"/>
    <row r="69" spans="2:5" ht="14.25" hidden="1" customHeight="1" x14ac:dyDescent="0.3"/>
    <row r="70" spans="2:5" ht="14.25" hidden="1" customHeight="1" x14ac:dyDescent="0.3"/>
    <row r="71" spans="2:5" ht="14.25" hidden="1" customHeight="1" x14ac:dyDescent="0.3"/>
    <row r="72" spans="2:5" ht="14.25" hidden="1" customHeight="1" x14ac:dyDescent="0.3"/>
    <row r="73" spans="2:5" ht="14.25" hidden="1" customHeight="1" x14ac:dyDescent="0.3"/>
    <row r="74" spans="2:5" ht="14.25" hidden="1" customHeight="1" x14ac:dyDescent="0.3">
      <c r="B74" s="120"/>
    </row>
    <row r="75" spans="2:5" ht="14.25" hidden="1" customHeight="1" x14ac:dyDescent="0.3"/>
    <row r="76" spans="2:5" ht="14.25" hidden="1" customHeight="1" x14ac:dyDescent="0.3"/>
    <row r="77" spans="2:5" ht="14.25" hidden="1" customHeight="1" x14ac:dyDescent="0.3"/>
    <row r="78" spans="2:5" ht="14.25" hidden="1" customHeight="1" x14ac:dyDescent="0.3"/>
    <row r="79" spans="2:5" ht="14.25" hidden="1" customHeight="1" x14ac:dyDescent="0.3"/>
    <row r="80" spans="2:5" ht="14.25" hidden="1" customHeight="1" x14ac:dyDescent="0.3"/>
    <row r="81" ht="14.25" hidden="1" customHeight="1" x14ac:dyDescent="0.3"/>
    <row r="82" ht="14.25" hidden="1" customHeight="1" x14ac:dyDescent="0.3"/>
    <row r="83" ht="14.25" hidden="1" customHeight="1" x14ac:dyDescent="0.3"/>
    <row r="84" ht="14.25" hidden="1" customHeight="1" x14ac:dyDescent="0.3"/>
    <row r="85" ht="14.25" hidden="1" customHeight="1" x14ac:dyDescent="0.3"/>
    <row r="86" ht="14.25" hidden="1" customHeight="1" x14ac:dyDescent="0.3"/>
    <row r="87" ht="14.25" hidden="1" customHeight="1" x14ac:dyDescent="0.3"/>
    <row r="88" ht="14.25" hidden="1" customHeight="1" x14ac:dyDescent="0.3"/>
    <row r="89" ht="14.25" hidden="1" customHeight="1" x14ac:dyDescent="0.3"/>
    <row r="90" ht="14.25" hidden="1" customHeight="1" x14ac:dyDescent="0.3"/>
    <row r="91" ht="14.25" hidden="1" customHeight="1" x14ac:dyDescent="0.3"/>
    <row r="92" ht="14.25" hidden="1" customHeight="1" x14ac:dyDescent="0.3"/>
    <row r="93" ht="14.25" hidden="1" customHeight="1" x14ac:dyDescent="0.3"/>
    <row r="94" ht="14.25" hidden="1" customHeight="1" x14ac:dyDescent="0.3"/>
    <row r="95" ht="14.25" hidden="1" customHeight="1" x14ac:dyDescent="0.3"/>
    <row r="96" ht="14.25" hidden="1" customHeight="1" x14ac:dyDescent="0.3"/>
    <row r="97" ht="14.25" hidden="1" customHeight="1" x14ac:dyDescent="0.3"/>
    <row r="98" ht="14.25" hidden="1" customHeight="1" x14ac:dyDescent="0.3"/>
    <row r="99" ht="14.25" hidden="1" customHeight="1" x14ac:dyDescent="0.3"/>
    <row r="100" ht="14.25" hidden="1" customHeight="1" x14ac:dyDescent="0.3"/>
    <row r="101" ht="14.25" hidden="1" customHeight="1" x14ac:dyDescent="0.3"/>
    <row r="102" ht="14.25" hidden="1" customHeight="1" x14ac:dyDescent="0.3"/>
    <row r="103" ht="14.25" hidden="1" customHeight="1" x14ac:dyDescent="0.3"/>
    <row r="104" ht="14.25" hidden="1" customHeight="1" x14ac:dyDescent="0.3"/>
    <row r="105" ht="14.25" hidden="1" customHeight="1" x14ac:dyDescent="0.3"/>
    <row r="106" ht="14.25" hidden="1" customHeight="1" x14ac:dyDescent="0.3"/>
    <row r="107" ht="14.25" hidden="1" customHeight="1" x14ac:dyDescent="0.3"/>
    <row r="108" ht="14.25" hidden="1" customHeight="1" x14ac:dyDescent="0.3"/>
    <row r="109" ht="14.25" hidden="1" customHeight="1" x14ac:dyDescent="0.3"/>
    <row r="110" ht="14.25" hidden="1" customHeight="1" x14ac:dyDescent="0.3"/>
    <row r="111" ht="14.25" hidden="1" customHeight="1" x14ac:dyDescent="0.3"/>
    <row r="112" ht="14.25" hidden="1" customHeight="1" x14ac:dyDescent="0.3"/>
    <row r="113" ht="14.25" hidden="1" customHeight="1" x14ac:dyDescent="0.3"/>
    <row r="114" ht="14.25" hidden="1" customHeight="1" x14ac:dyDescent="0.3"/>
    <row r="115" ht="14.25" hidden="1" customHeight="1" x14ac:dyDescent="0.3"/>
    <row r="116" ht="14.25" hidden="1" customHeight="1" x14ac:dyDescent="0.3"/>
    <row r="117" ht="14.25" hidden="1" customHeight="1" x14ac:dyDescent="0.3"/>
    <row r="118" ht="14.25" hidden="1" customHeight="1" x14ac:dyDescent="0.3"/>
    <row r="119" ht="14.25" hidden="1" customHeight="1" x14ac:dyDescent="0.3"/>
    <row r="120" ht="14.25" hidden="1" customHeight="1" x14ac:dyDescent="0.3"/>
    <row r="121" ht="14.25" hidden="1" customHeight="1" x14ac:dyDescent="0.3"/>
    <row r="122" ht="14.25" hidden="1" customHeight="1" x14ac:dyDescent="0.3"/>
    <row r="123" ht="14.25" hidden="1" customHeight="1" x14ac:dyDescent="0.3"/>
    <row r="124" ht="14.25" hidden="1" customHeight="1" x14ac:dyDescent="0.3"/>
    <row r="125" ht="14.25" hidden="1" customHeight="1" x14ac:dyDescent="0.3"/>
    <row r="126" ht="14.25" hidden="1" customHeight="1" x14ac:dyDescent="0.3"/>
    <row r="127" ht="14.25" hidden="1" customHeight="1" x14ac:dyDescent="0.3"/>
    <row r="128" ht="14.25" hidden="1" customHeight="1" x14ac:dyDescent="0.3"/>
    <row r="129" ht="14.25" hidden="1" customHeight="1" x14ac:dyDescent="0.3"/>
    <row r="130" ht="14.25" hidden="1" customHeight="1" x14ac:dyDescent="0.3"/>
    <row r="131" ht="14.25" hidden="1" customHeight="1" x14ac:dyDescent="0.3"/>
    <row r="132" ht="14.25" hidden="1" customHeight="1" x14ac:dyDescent="0.3"/>
    <row r="133" ht="14.25" hidden="1" customHeight="1" x14ac:dyDescent="0.3"/>
    <row r="134" ht="14.25" hidden="1" customHeight="1" x14ac:dyDescent="0.3"/>
    <row r="135" ht="14.25" hidden="1" customHeight="1" x14ac:dyDescent="0.3"/>
    <row r="136" ht="14.25" hidden="1" customHeight="1" x14ac:dyDescent="0.3"/>
    <row r="137" ht="14.25" hidden="1" customHeight="1" x14ac:dyDescent="0.3"/>
    <row r="138" ht="14.25" hidden="1" customHeight="1" x14ac:dyDescent="0.3"/>
    <row r="139" ht="14.25" hidden="1" customHeight="1" x14ac:dyDescent="0.3"/>
    <row r="140" ht="14.25" hidden="1" customHeight="1" x14ac:dyDescent="0.3"/>
    <row r="141" ht="14.25" hidden="1" customHeight="1" x14ac:dyDescent="0.3"/>
    <row r="142" ht="14.25" hidden="1" customHeight="1" x14ac:dyDescent="0.3"/>
    <row r="143" ht="14.25" hidden="1" customHeight="1" x14ac:dyDescent="0.3"/>
    <row r="144" ht="14.25" hidden="1" customHeight="1" x14ac:dyDescent="0.3"/>
    <row r="145" ht="14.25" hidden="1" customHeight="1" x14ac:dyDescent="0.3"/>
    <row r="146" ht="14.25" hidden="1" customHeight="1" x14ac:dyDescent="0.3"/>
    <row r="147" ht="14.25" hidden="1" customHeight="1" x14ac:dyDescent="0.3"/>
    <row r="148" ht="14.25" hidden="1" customHeight="1" x14ac:dyDescent="0.3"/>
    <row r="149" ht="14.25" hidden="1" customHeight="1" x14ac:dyDescent="0.3"/>
    <row r="150" ht="14.25" hidden="1" customHeight="1" x14ac:dyDescent="0.3"/>
    <row r="151" ht="14.25" hidden="1" customHeight="1" x14ac:dyDescent="0.3"/>
    <row r="152" ht="14.25" hidden="1" customHeight="1" x14ac:dyDescent="0.3"/>
    <row r="153" ht="14.25" hidden="1" customHeight="1" x14ac:dyDescent="0.3"/>
    <row r="154" ht="14.25" hidden="1" customHeight="1" x14ac:dyDescent="0.3"/>
    <row r="155" ht="14.25" hidden="1" customHeight="1" x14ac:dyDescent="0.3"/>
    <row r="156" ht="14.25" hidden="1" customHeight="1" x14ac:dyDescent="0.3"/>
    <row r="157" ht="14.25" hidden="1" customHeight="1" x14ac:dyDescent="0.3"/>
    <row r="158" ht="14.25" hidden="1" customHeight="1" x14ac:dyDescent="0.3"/>
    <row r="159" ht="14.25" hidden="1" customHeight="1" x14ac:dyDescent="0.3"/>
    <row r="160" ht="14.25" hidden="1" customHeight="1" x14ac:dyDescent="0.3"/>
    <row r="161" ht="14.25" hidden="1" customHeight="1" x14ac:dyDescent="0.3"/>
    <row r="162" ht="14.25" hidden="1" customHeight="1" x14ac:dyDescent="0.3"/>
    <row r="163" ht="14.25" hidden="1" customHeight="1" x14ac:dyDescent="0.3"/>
    <row r="164" ht="14.25" hidden="1" customHeight="1" x14ac:dyDescent="0.3"/>
    <row r="165" ht="14.25" hidden="1" customHeight="1" x14ac:dyDescent="0.3"/>
    <row r="166" ht="14.25" hidden="1" customHeight="1" x14ac:dyDescent="0.3"/>
    <row r="167" ht="14.25" hidden="1" customHeight="1" x14ac:dyDescent="0.3"/>
    <row r="168" ht="14.25" hidden="1" customHeight="1" x14ac:dyDescent="0.3"/>
    <row r="169" ht="14.25" hidden="1" customHeight="1" x14ac:dyDescent="0.3"/>
    <row r="170" ht="14.25" hidden="1" customHeight="1" x14ac:dyDescent="0.3"/>
    <row r="171" ht="14.25" hidden="1" customHeight="1" x14ac:dyDescent="0.3"/>
    <row r="172" ht="14.25" hidden="1" customHeight="1" x14ac:dyDescent="0.3"/>
    <row r="173" ht="14.25" hidden="1" customHeight="1" x14ac:dyDescent="0.3"/>
    <row r="174" ht="14.25" hidden="1" customHeight="1" x14ac:dyDescent="0.3"/>
    <row r="175" ht="14.25" hidden="1" customHeight="1" x14ac:dyDescent="0.3"/>
    <row r="176" ht="14.25" hidden="1" customHeight="1" x14ac:dyDescent="0.3"/>
    <row r="177" ht="14.25" hidden="1" customHeight="1" x14ac:dyDescent="0.3"/>
    <row r="178" ht="14.25" hidden="1" customHeight="1" x14ac:dyDescent="0.3"/>
    <row r="179" ht="14.25" hidden="1" customHeight="1" x14ac:dyDescent="0.3"/>
    <row r="180" ht="14.25" hidden="1" customHeight="1" x14ac:dyDescent="0.3"/>
    <row r="181" ht="14.25" hidden="1" customHeight="1" x14ac:dyDescent="0.3"/>
    <row r="182" ht="14.25" hidden="1" customHeight="1" x14ac:dyDescent="0.3"/>
    <row r="183" ht="14.25" hidden="1" customHeight="1" x14ac:dyDescent="0.3"/>
    <row r="184" ht="14.25" hidden="1" customHeight="1" x14ac:dyDescent="0.3"/>
    <row r="185" ht="14.25" hidden="1" customHeight="1" x14ac:dyDescent="0.3"/>
    <row r="186" ht="14.25" hidden="1" customHeight="1" x14ac:dyDescent="0.3"/>
    <row r="187" ht="14.25" hidden="1" customHeight="1" x14ac:dyDescent="0.3"/>
    <row r="188" ht="14.25" hidden="1" customHeight="1" x14ac:dyDescent="0.3"/>
    <row r="189" ht="14.25" hidden="1" customHeight="1" x14ac:dyDescent="0.3"/>
    <row r="190" ht="14.25" hidden="1" customHeight="1" x14ac:dyDescent="0.3"/>
    <row r="191" ht="14.25" hidden="1" customHeight="1" x14ac:dyDescent="0.3"/>
    <row r="192" ht="14.25" hidden="1" customHeight="1" x14ac:dyDescent="0.3"/>
    <row r="193" ht="14.25" hidden="1" customHeight="1" x14ac:dyDescent="0.3"/>
    <row r="194" ht="14.25" hidden="1" customHeight="1" x14ac:dyDescent="0.3"/>
    <row r="195" ht="14.25" hidden="1" customHeight="1" x14ac:dyDescent="0.3"/>
    <row r="196" ht="14.25" hidden="1" customHeight="1" x14ac:dyDescent="0.3"/>
    <row r="197" ht="14.25" hidden="1" customHeight="1" x14ac:dyDescent="0.3"/>
    <row r="198" ht="14.25" hidden="1" customHeight="1" x14ac:dyDescent="0.3"/>
    <row r="199" ht="14.25" hidden="1" customHeight="1" x14ac:dyDescent="0.3"/>
    <row r="200" ht="14.25" hidden="1" customHeight="1" x14ac:dyDescent="0.3"/>
    <row r="201" ht="14.25" hidden="1" customHeight="1" x14ac:dyDescent="0.3"/>
    <row r="202" ht="14.25" hidden="1" customHeight="1" x14ac:dyDescent="0.3"/>
    <row r="203" ht="14.25" hidden="1" customHeight="1" x14ac:dyDescent="0.3"/>
    <row r="204" ht="14.25" hidden="1" customHeight="1" x14ac:dyDescent="0.3"/>
    <row r="205" ht="14.25" hidden="1" customHeight="1" x14ac:dyDescent="0.3"/>
    <row r="206" ht="14.25" hidden="1" customHeight="1" x14ac:dyDescent="0.3"/>
    <row r="207" ht="14.25" hidden="1" customHeight="1" x14ac:dyDescent="0.3"/>
    <row r="208" ht="14.25" hidden="1" customHeight="1" x14ac:dyDescent="0.3"/>
    <row r="209" ht="14.25" hidden="1" customHeight="1" x14ac:dyDescent="0.3"/>
    <row r="210" ht="14.25" hidden="1" customHeight="1" x14ac:dyDescent="0.3"/>
    <row r="211" ht="14.25" hidden="1" customHeight="1" x14ac:dyDescent="0.3"/>
    <row r="212" ht="14.25" hidden="1" customHeight="1" x14ac:dyDescent="0.3"/>
    <row r="213" ht="14.25" hidden="1" customHeight="1" x14ac:dyDescent="0.3"/>
    <row r="214" ht="14.25" hidden="1" customHeight="1" x14ac:dyDescent="0.3"/>
    <row r="215" ht="14.25" hidden="1" customHeight="1" x14ac:dyDescent="0.3"/>
    <row r="216" ht="14.25" hidden="1" customHeight="1" x14ac:dyDescent="0.3"/>
    <row r="217" ht="14.25" hidden="1" customHeight="1" x14ac:dyDescent="0.3"/>
    <row r="218" ht="14.25" hidden="1" customHeight="1" x14ac:dyDescent="0.3"/>
    <row r="219" ht="14.25" hidden="1" customHeight="1" x14ac:dyDescent="0.3"/>
    <row r="220" ht="14.25" hidden="1" customHeight="1" x14ac:dyDescent="0.3"/>
    <row r="221" ht="14.25" hidden="1" customHeight="1" x14ac:dyDescent="0.3"/>
    <row r="222" ht="14.25" hidden="1" customHeight="1" x14ac:dyDescent="0.3"/>
    <row r="223" ht="14.25" hidden="1" customHeight="1" x14ac:dyDescent="0.3"/>
    <row r="224" ht="14.25" hidden="1" customHeight="1" x14ac:dyDescent="0.3"/>
    <row r="225" ht="14.25" hidden="1" customHeight="1" x14ac:dyDescent="0.3"/>
    <row r="226" ht="14.25" hidden="1" customHeight="1" x14ac:dyDescent="0.3"/>
    <row r="227" ht="14.25" hidden="1" customHeight="1" x14ac:dyDescent="0.3"/>
    <row r="228" ht="14.25" hidden="1" customHeight="1" x14ac:dyDescent="0.3"/>
    <row r="229" ht="14.25" hidden="1" customHeight="1" x14ac:dyDescent="0.3"/>
    <row r="230" ht="14.25" hidden="1" customHeight="1" x14ac:dyDescent="0.3"/>
    <row r="231" ht="14.25" hidden="1" customHeight="1" x14ac:dyDescent="0.3"/>
    <row r="232" ht="14.25" hidden="1" customHeight="1" x14ac:dyDescent="0.3"/>
    <row r="233" ht="14.25" hidden="1" customHeight="1" x14ac:dyDescent="0.3"/>
    <row r="234" ht="14.25" hidden="1" customHeight="1" x14ac:dyDescent="0.3"/>
    <row r="235" ht="14.25" hidden="1" customHeight="1" x14ac:dyDescent="0.3"/>
    <row r="236" ht="14.25" hidden="1" customHeight="1" x14ac:dyDescent="0.3"/>
    <row r="237" ht="14.25" hidden="1" customHeight="1" x14ac:dyDescent="0.3"/>
    <row r="238" ht="14.25" hidden="1" customHeight="1" x14ac:dyDescent="0.3"/>
    <row r="239" ht="14.25" hidden="1" customHeight="1" x14ac:dyDescent="0.3"/>
    <row r="240"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5.75" hidden="1" customHeight="1" x14ac:dyDescent="0.3"/>
    <row r="260" ht="15.75" hidden="1" customHeight="1" x14ac:dyDescent="0.3"/>
    <row r="261" ht="15.75" hidden="1" customHeight="1" x14ac:dyDescent="0.3"/>
    <row r="262" ht="15.75" hidden="1" customHeight="1" x14ac:dyDescent="0.3"/>
    <row r="263" ht="15.75" hidden="1" customHeight="1" x14ac:dyDescent="0.3"/>
    <row r="264" ht="15.75" hidden="1" customHeight="1" x14ac:dyDescent="0.3"/>
    <row r="265" ht="15.75" hidden="1" customHeight="1" x14ac:dyDescent="0.3"/>
    <row r="266" ht="15.75" hidden="1" customHeight="1" x14ac:dyDescent="0.3"/>
    <row r="267" ht="15.75" hidden="1" customHeight="1" x14ac:dyDescent="0.3"/>
    <row r="268" ht="15.75" hidden="1" customHeight="1" x14ac:dyDescent="0.3"/>
    <row r="269" ht="15.75" hidden="1" customHeight="1" x14ac:dyDescent="0.3"/>
    <row r="270" ht="15.75" hidden="1" customHeight="1" x14ac:dyDescent="0.3"/>
    <row r="271" ht="15.75" hidden="1" customHeight="1" x14ac:dyDescent="0.3"/>
    <row r="272" ht="15.75" hidden="1" customHeight="1" x14ac:dyDescent="0.3"/>
    <row r="273" ht="15.75" hidden="1" customHeight="1" x14ac:dyDescent="0.3"/>
    <row r="274" ht="15.75" hidden="1" customHeight="1" x14ac:dyDescent="0.3"/>
    <row r="275" ht="15.75" hidden="1" customHeight="1" x14ac:dyDescent="0.3"/>
    <row r="276" ht="15.75" hidden="1" customHeight="1" x14ac:dyDescent="0.3"/>
    <row r="277" ht="15.75" hidden="1" customHeight="1" x14ac:dyDescent="0.3"/>
    <row r="278" ht="15.75" hidden="1" customHeight="1" x14ac:dyDescent="0.3"/>
    <row r="279" ht="15.75" hidden="1" customHeight="1" x14ac:dyDescent="0.3"/>
    <row r="280" ht="15.75" hidden="1" customHeight="1" x14ac:dyDescent="0.3"/>
    <row r="281" ht="15.75" hidden="1" customHeight="1" x14ac:dyDescent="0.3"/>
    <row r="282" ht="15.75" hidden="1" customHeight="1" x14ac:dyDescent="0.3"/>
    <row r="283" ht="15.75" hidden="1" customHeight="1" x14ac:dyDescent="0.3"/>
    <row r="284" ht="15.75" hidden="1" customHeight="1" x14ac:dyDescent="0.3"/>
    <row r="285" ht="15.75" hidden="1" customHeight="1" x14ac:dyDescent="0.3"/>
    <row r="286" ht="15.75" hidden="1" customHeight="1" x14ac:dyDescent="0.3"/>
    <row r="287" ht="15.75" hidden="1" customHeight="1" x14ac:dyDescent="0.3"/>
    <row r="288" ht="15.75" hidden="1" customHeight="1" x14ac:dyDescent="0.3"/>
    <row r="289" ht="15.75" hidden="1" customHeight="1" x14ac:dyDescent="0.3"/>
    <row r="290" ht="15.75" hidden="1" customHeight="1" x14ac:dyDescent="0.3"/>
    <row r="291" ht="15.75" hidden="1" customHeight="1" x14ac:dyDescent="0.3"/>
    <row r="292" ht="15.75" hidden="1" customHeight="1" x14ac:dyDescent="0.3"/>
    <row r="293" ht="15.75" hidden="1" customHeight="1" x14ac:dyDescent="0.3"/>
    <row r="294" ht="15.75" hidden="1" customHeight="1" x14ac:dyDescent="0.3"/>
    <row r="295" ht="15.75" hidden="1" customHeight="1" x14ac:dyDescent="0.3"/>
    <row r="296" ht="15.75" hidden="1" customHeight="1" x14ac:dyDescent="0.3"/>
    <row r="297" ht="15.75" hidden="1" customHeight="1" x14ac:dyDescent="0.3"/>
    <row r="298" ht="15.75" hidden="1" customHeight="1" x14ac:dyDescent="0.3"/>
    <row r="299" ht="15.75" hidden="1" customHeight="1" x14ac:dyDescent="0.3"/>
    <row r="300" ht="15.75" hidden="1" customHeight="1" x14ac:dyDescent="0.3"/>
    <row r="301" ht="15.75" hidden="1" customHeight="1" x14ac:dyDescent="0.3"/>
    <row r="302" ht="15.75" hidden="1" customHeight="1" x14ac:dyDescent="0.3"/>
    <row r="303" ht="15.75" hidden="1" customHeight="1" x14ac:dyDescent="0.3"/>
    <row r="304" ht="15.75" hidden="1" customHeight="1" x14ac:dyDescent="0.3"/>
    <row r="305" ht="15.75" hidden="1" customHeight="1" x14ac:dyDescent="0.3"/>
    <row r="306" ht="15.75" hidden="1" customHeight="1" x14ac:dyDescent="0.3"/>
    <row r="307" ht="15.75" hidden="1" customHeight="1" x14ac:dyDescent="0.3"/>
    <row r="308" ht="15.75" hidden="1" customHeight="1" x14ac:dyDescent="0.3"/>
    <row r="309" ht="15.75" hidden="1" customHeight="1" x14ac:dyDescent="0.3"/>
    <row r="310" ht="15.75" hidden="1" customHeight="1" x14ac:dyDescent="0.3"/>
    <row r="311" ht="15.75" hidden="1" customHeight="1" x14ac:dyDescent="0.3"/>
    <row r="312" ht="15.75" hidden="1" customHeight="1" x14ac:dyDescent="0.3"/>
    <row r="313" ht="15.75" hidden="1" customHeight="1" x14ac:dyDescent="0.3"/>
    <row r="314" ht="15.75" hidden="1" customHeight="1" x14ac:dyDescent="0.3"/>
    <row r="315" ht="15.75" hidden="1" customHeight="1" x14ac:dyDescent="0.3"/>
    <row r="316" ht="15.75" hidden="1" customHeight="1" x14ac:dyDescent="0.3"/>
    <row r="317" ht="15.75" hidden="1" customHeight="1" x14ac:dyDescent="0.3"/>
    <row r="318" ht="15.75" hidden="1" customHeight="1" x14ac:dyDescent="0.3"/>
    <row r="319" ht="15.75" hidden="1" customHeight="1" x14ac:dyDescent="0.3"/>
    <row r="320" ht="15.75" hidden="1" customHeight="1" x14ac:dyDescent="0.3"/>
    <row r="321" ht="15.75" hidden="1" customHeight="1" x14ac:dyDescent="0.3"/>
    <row r="322" ht="15.75" hidden="1" customHeight="1" x14ac:dyDescent="0.3"/>
    <row r="323" ht="15.75" hidden="1" customHeight="1" x14ac:dyDescent="0.3"/>
    <row r="324" ht="15.75" hidden="1" customHeight="1" x14ac:dyDescent="0.3"/>
    <row r="325" ht="15.75" hidden="1" customHeight="1" x14ac:dyDescent="0.3"/>
    <row r="326" ht="15.75" hidden="1" customHeight="1" x14ac:dyDescent="0.3"/>
    <row r="327" ht="15.75" hidden="1" customHeight="1" x14ac:dyDescent="0.3"/>
    <row r="328" ht="15.75" hidden="1" customHeight="1" x14ac:dyDescent="0.3"/>
    <row r="329" ht="15.75" hidden="1" customHeight="1" x14ac:dyDescent="0.3"/>
    <row r="330" ht="15.75" hidden="1" customHeight="1" x14ac:dyDescent="0.3"/>
    <row r="331" ht="15.75" hidden="1" customHeight="1" x14ac:dyDescent="0.3"/>
    <row r="332" ht="15.75" hidden="1" customHeight="1" x14ac:dyDescent="0.3"/>
    <row r="333" ht="15.75" hidden="1" customHeight="1" x14ac:dyDescent="0.3"/>
    <row r="334" ht="15.75" hidden="1" customHeight="1" x14ac:dyDescent="0.3"/>
    <row r="335" ht="15.75" hidden="1" customHeight="1" x14ac:dyDescent="0.3"/>
    <row r="336" ht="15.75" hidden="1" customHeight="1" x14ac:dyDescent="0.3"/>
    <row r="337" ht="15.75" hidden="1" customHeight="1" x14ac:dyDescent="0.3"/>
    <row r="338" ht="15.75" hidden="1" customHeight="1" x14ac:dyDescent="0.3"/>
    <row r="339" ht="15.75" hidden="1" customHeight="1" x14ac:dyDescent="0.3"/>
    <row r="340" ht="15.75" hidden="1" customHeight="1" x14ac:dyDescent="0.3"/>
    <row r="341" ht="15.75" hidden="1" customHeight="1" x14ac:dyDescent="0.3"/>
    <row r="342" ht="15.75" hidden="1" customHeight="1" x14ac:dyDescent="0.3"/>
    <row r="343" ht="15.75" hidden="1" customHeight="1" x14ac:dyDescent="0.3"/>
    <row r="344" ht="15.75" hidden="1" customHeight="1" x14ac:dyDescent="0.3"/>
    <row r="345" ht="15.75" hidden="1" customHeight="1" x14ac:dyDescent="0.3"/>
    <row r="346" ht="15.75" hidden="1" customHeight="1" x14ac:dyDescent="0.3"/>
    <row r="347" ht="15.75" hidden="1" customHeight="1" x14ac:dyDescent="0.3"/>
    <row r="348" ht="15.75" hidden="1" customHeight="1" x14ac:dyDescent="0.3"/>
    <row r="349" ht="15.75" hidden="1" customHeight="1" x14ac:dyDescent="0.3"/>
    <row r="350" ht="15.75" hidden="1" customHeight="1" x14ac:dyDescent="0.3"/>
    <row r="351" ht="15.75" hidden="1" customHeight="1" x14ac:dyDescent="0.3"/>
    <row r="352" ht="15.75" hidden="1" customHeight="1" x14ac:dyDescent="0.3"/>
    <row r="353" ht="15.75" hidden="1" customHeight="1" x14ac:dyDescent="0.3"/>
    <row r="354" ht="15.75" hidden="1" customHeight="1" x14ac:dyDescent="0.3"/>
    <row r="355" ht="15.75" hidden="1" customHeight="1" x14ac:dyDescent="0.3"/>
    <row r="356" ht="15.75" hidden="1" customHeight="1" x14ac:dyDescent="0.3"/>
    <row r="357" ht="15.75" hidden="1" customHeight="1" x14ac:dyDescent="0.3"/>
    <row r="358" ht="15.75" hidden="1" customHeight="1" x14ac:dyDescent="0.3"/>
    <row r="359" ht="15.75" hidden="1" customHeight="1" x14ac:dyDescent="0.3"/>
    <row r="360" ht="15.75" hidden="1" customHeight="1" x14ac:dyDescent="0.3"/>
    <row r="361" ht="15.75" hidden="1" customHeight="1" x14ac:dyDescent="0.3"/>
    <row r="362" ht="15.75" hidden="1" customHeight="1" x14ac:dyDescent="0.3"/>
    <row r="363" ht="15.75" hidden="1" customHeight="1" x14ac:dyDescent="0.3"/>
    <row r="364" ht="15.75" hidden="1" customHeight="1" x14ac:dyDescent="0.3"/>
    <row r="365" ht="15.75" hidden="1" customHeight="1" x14ac:dyDescent="0.3"/>
    <row r="366" ht="15.75" hidden="1" customHeight="1" x14ac:dyDescent="0.3"/>
    <row r="367" ht="15.75" hidden="1" customHeight="1" x14ac:dyDescent="0.3"/>
    <row r="368" ht="15.75" hidden="1" customHeight="1" x14ac:dyDescent="0.3"/>
    <row r="369" ht="15.75" hidden="1" customHeight="1" x14ac:dyDescent="0.3"/>
    <row r="370" ht="15.75" hidden="1" customHeight="1" x14ac:dyDescent="0.3"/>
    <row r="371" ht="15.75" hidden="1" customHeight="1" x14ac:dyDescent="0.3"/>
    <row r="372" ht="15.75" hidden="1" customHeight="1" x14ac:dyDescent="0.3"/>
    <row r="373" ht="15.75" hidden="1" customHeight="1" x14ac:dyDescent="0.3"/>
    <row r="374" ht="15.75" hidden="1" customHeight="1" x14ac:dyDescent="0.3"/>
    <row r="375" ht="15.75" hidden="1" customHeight="1" x14ac:dyDescent="0.3"/>
    <row r="376" ht="15.75" hidden="1" customHeight="1" x14ac:dyDescent="0.3"/>
    <row r="377" ht="15.75" hidden="1" customHeight="1" x14ac:dyDescent="0.3"/>
    <row r="378" ht="15.75" hidden="1" customHeight="1" x14ac:dyDescent="0.3"/>
    <row r="379" ht="15.75" hidden="1" customHeight="1" x14ac:dyDescent="0.3"/>
    <row r="380" ht="15.75" hidden="1" customHeight="1" x14ac:dyDescent="0.3"/>
    <row r="381" ht="15.75" hidden="1" customHeight="1" x14ac:dyDescent="0.3"/>
    <row r="382" ht="15.75" hidden="1" customHeight="1" x14ac:dyDescent="0.3"/>
    <row r="383" ht="15.75" hidden="1" customHeight="1" x14ac:dyDescent="0.3"/>
    <row r="384" ht="15.75" hidden="1" customHeight="1" x14ac:dyDescent="0.3"/>
    <row r="385" ht="15.75" hidden="1" customHeight="1" x14ac:dyDescent="0.3"/>
    <row r="386" ht="15.75" hidden="1" customHeight="1" x14ac:dyDescent="0.3"/>
    <row r="387" ht="15.75" hidden="1" customHeight="1" x14ac:dyDescent="0.3"/>
    <row r="388" ht="15.75" hidden="1" customHeight="1" x14ac:dyDescent="0.3"/>
    <row r="389" ht="15.75" hidden="1" customHeight="1" x14ac:dyDescent="0.3"/>
    <row r="390" ht="15.75" hidden="1" customHeight="1" x14ac:dyDescent="0.3"/>
    <row r="391" ht="15.75" hidden="1" customHeight="1" x14ac:dyDescent="0.3"/>
    <row r="392" ht="15.75" hidden="1" customHeight="1" x14ac:dyDescent="0.3"/>
    <row r="393" ht="15.75" hidden="1" customHeight="1" x14ac:dyDescent="0.3"/>
    <row r="394" ht="15.75" hidden="1" customHeight="1" x14ac:dyDescent="0.3"/>
    <row r="395" ht="15.75" hidden="1" customHeight="1" x14ac:dyDescent="0.3"/>
    <row r="396" ht="15.75" hidden="1" customHeight="1" x14ac:dyDescent="0.3"/>
    <row r="397" ht="15.75" hidden="1" customHeight="1" x14ac:dyDescent="0.3"/>
    <row r="398" ht="15.75" hidden="1" customHeight="1" x14ac:dyDescent="0.3"/>
    <row r="399" ht="15.75" hidden="1" customHeight="1" x14ac:dyDescent="0.3"/>
    <row r="400" ht="15.75" hidden="1" customHeight="1" x14ac:dyDescent="0.3"/>
    <row r="401" ht="15.75" hidden="1" customHeight="1" x14ac:dyDescent="0.3"/>
    <row r="402" ht="15.75" hidden="1" customHeight="1" x14ac:dyDescent="0.3"/>
    <row r="403" ht="15.75" hidden="1" customHeight="1" x14ac:dyDescent="0.3"/>
    <row r="404" ht="15.75" hidden="1" customHeight="1" x14ac:dyDescent="0.3"/>
    <row r="405" ht="15.75" hidden="1" customHeight="1" x14ac:dyDescent="0.3"/>
    <row r="406" ht="15.75" hidden="1" customHeight="1" x14ac:dyDescent="0.3"/>
    <row r="407" ht="15.75" hidden="1" customHeight="1" x14ac:dyDescent="0.3"/>
    <row r="408" ht="15.75" hidden="1" customHeight="1" x14ac:dyDescent="0.3"/>
    <row r="409" ht="15.75" hidden="1" customHeight="1" x14ac:dyDescent="0.3"/>
    <row r="410" ht="15.75" hidden="1" customHeight="1" x14ac:dyDescent="0.3"/>
    <row r="411" ht="15.75" hidden="1" customHeight="1" x14ac:dyDescent="0.3"/>
    <row r="412" ht="15.75" hidden="1" customHeight="1" x14ac:dyDescent="0.3"/>
    <row r="413" ht="15.75" hidden="1" customHeight="1" x14ac:dyDescent="0.3"/>
    <row r="414" ht="15.75" hidden="1" customHeight="1" x14ac:dyDescent="0.3"/>
    <row r="415" ht="15.75" hidden="1" customHeight="1" x14ac:dyDescent="0.3"/>
    <row r="416" ht="15.75" hidden="1" customHeight="1" x14ac:dyDescent="0.3"/>
    <row r="417" ht="15.75" hidden="1" customHeight="1" x14ac:dyDescent="0.3"/>
    <row r="418" ht="15.75" hidden="1" customHeight="1" x14ac:dyDescent="0.3"/>
    <row r="419" ht="15.75" hidden="1" customHeight="1" x14ac:dyDescent="0.3"/>
    <row r="420" ht="15.75" hidden="1" customHeight="1" x14ac:dyDescent="0.3"/>
    <row r="421" ht="15.75" hidden="1" customHeight="1" x14ac:dyDescent="0.3"/>
    <row r="422" ht="15.75" hidden="1" customHeight="1" x14ac:dyDescent="0.3"/>
    <row r="423" ht="15.75" hidden="1" customHeight="1" x14ac:dyDescent="0.3"/>
    <row r="424" ht="15.75" hidden="1" customHeight="1" x14ac:dyDescent="0.3"/>
    <row r="425" ht="15.75" hidden="1" customHeight="1" x14ac:dyDescent="0.3"/>
    <row r="426" ht="15.75" hidden="1" customHeight="1" x14ac:dyDescent="0.3"/>
    <row r="427" ht="15.75" hidden="1" customHeight="1" x14ac:dyDescent="0.3"/>
    <row r="428" ht="15.75" hidden="1" customHeight="1" x14ac:dyDescent="0.3"/>
    <row r="429" ht="15.75" hidden="1" customHeight="1" x14ac:dyDescent="0.3"/>
    <row r="430" ht="15.75" hidden="1" customHeight="1" x14ac:dyDescent="0.3"/>
    <row r="431" ht="15.75" hidden="1" customHeight="1" x14ac:dyDescent="0.3"/>
    <row r="432" ht="15.75" hidden="1" customHeight="1" x14ac:dyDescent="0.3"/>
    <row r="433" ht="15.75" hidden="1" customHeight="1" x14ac:dyDescent="0.3"/>
    <row r="434" ht="15.75" hidden="1" customHeight="1" x14ac:dyDescent="0.3"/>
    <row r="435" ht="15.75" hidden="1" customHeight="1" x14ac:dyDescent="0.3"/>
    <row r="436" ht="15.75" hidden="1" customHeight="1" x14ac:dyDescent="0.3"/>
    <row r="437" ht="15.75" hidden="1" customHeight="1" x14ac:dyDescent="0.3"/>
    <row r="438" ht="15.75" hidden="1" customHeight="1" x14ac:dyDescent="0.3"/>
    <row r="439" ht="15.75" hidden="1" customHeight="1" x14ac:dyDescent="0.3"/>
    <row r="440" ht="15.75" hidden="1" customHeight="1" x14ac:dyDescent="0.3"/>
    <row r="441" ht="15.75" hidden="1" customHeight="1" x14ac:dyDescent="0.3"/>
    <row r="442" ht="15.75" hidden="1" customHeight="1" x14ac:dyDescent="0.3"/>
    <row r="443" ht="15.75" hidden="1" customHeight="1" x14ac:dyDescent="0.3"/>
    <row r="444" ht="15.75" hidden="1" customHeight="1" x14ac:dyDescent="0.3"/>
    <row r="445" ht="15.75" hidden="1" customHeight="1" x14ac:dyDescent="0.3"/>
    <row r="446" ht="15.75" hidden="1" customHeight="1" x14ac:dyDescent="0.3"/>
    <row r="447" ht="15.75" hidden="1" customHeight="1" x14ac:dyDescent="0.3"/>
    <row r="448" ht="15.75" hidden="1" customHeight="1" x14ac:dyDescent="0.3"/>
    <row r="449" ht="15.75" hidden="1" customHeight="1" x14ac:dyDescent="0.3"/>
    <row r="450" ht="15.75" hidden="1" customHeight="1" x14ac:dyDescent="0.3"/>
    <row r="451" ht="15.75" hidden="1" customHeight="1" x14ac:dyDescent="0.3"/>
    <row r="452" ht="15.75" hidden="1" customHeight="1" x14ac:dyDescent="0.3"/>
    <row r="453" ht="15.75" hidden="1" customHeight="1" x14ac:dyDescent="0.3"/>
    <row r="454" ht="15.75" hidden="1" customHeight="1" x14ac:dyDescent="0.3"/>
    <row r="455" ht="15.75" hidden="1" customHeight="1" x14ac:dyDescent="0.3"/>
    <row r="456" ht="15.75" hidden="1" customHeight="1" x14ac:dyDescent="0.3"/>
    <row r="457" ht="15.75" hidden="1" customHeight="1" x14ac:dyDescent="0.3"/>
    <row r="458" ht="15.75" hidden="1" customHeight="1" x14ac:dyDescent="0.3"/>
    <row r="459" ht="15.75" hidden="1" customHeight="1" x14ac:dyDescent="0.3"/>
    <row r="460" ht="15.75" hidden="1" customHeight="1" x14ac:dyDescent="0.3"/>
    <row r="461" ht="15.75" hidden="1" customHeight="1" x14ac:dyDescent="0.3"/>
    <row r="462" ht="15.75" hidden="1" customHeight="1" x14ac:dyDescent="0.3"/>
    <row r="463" ht="15.75" hidden="1" customHeight="1" x14ac:dyDescent="0.3"/>
    <row r="464" ht="15.75" hidden="1" customHeight="1" x14ac:dyDescent="0.3"/>
    <row r="465" ht="15.75" hidden="1" customHeight="1" x14ac:dyDescent="0.3"/>
    <row r="466" ht="15.75" hidden="1" customHeight="1" x14ac:dyDescent="0.3"/>
    <row r="467" ht="15.75" hidden="1" customHeight="1" x14ac:dyDescent="0.3"/>
    <row r="468" ht="15.75" hidden="1" customHeight="1" x14ac:dyDescent="0.3"/>
    <row r="469" ht="15.75" hidden="1" customHeight="1" x14ac:dyDescent="0.3"/>
    <row r="470" ht="15.75" hidden="1" customHeight="1" x14ac:dyDescent="0.3"/>
    <row r="471" ht="15.75" hidden="1" customHeight="1" x14ac:dyDescent="0.3"/>
    <row r="472" ht="15.75" hidden="1" customHeight="1" x14ac:dyDescent="0.3"/>
    <row r="473" ht="15.75" hidden="1" customHeight="1" x14ac:dyDescent="0.3"/>
    <row r="474" ht="15.75" hidden="1" customHeight="1" x14ac:dyDescent="0.3"/>
    <row r="475" ht="15.75" hidden="1" customHeight="1" x14ac:dyDescent="0.3"/>
    <row r="476" ht="15.75" hidden="1" customHeight="1" x14ac:dyDescent="0.3"/>
    <row r="477" ht="15.75" hidden="1" customHeight="1" x14ac:dyDescent="0.3"/>
    <row r="478" ht="15.75" hidden="1" customHeight="1" x14ac:dyDescent="0.3"/>
    <row r="479" ht="15.75" hidden="1" customHeight="1" x14ac:dyDescent="0.3"/>
    <row r="480" ht="15.75" hidden="1" customHeight="1" x14ac:dyDescent="0.3"/>
    <row r="481" ht="15.75" hidden="1" customHeight="1" x14ac:dyDescent="0.3"/>
    <row r="482" ht="15.75" hidden="1" customHeight="1" x14ac:dyDescent="0.3"/>
    <row r="483" ht="15.75" hidden="1" customHeight="1" x14ac:dyDescent="0.3"/>
    <row r="484" ht="15.75" hidden="1" customHeight="1" x14ac:dyDescent="0.3"/>
    <row r="485" ht="15.75" hidden="1" customHeight="1" x14ac:dyDescent="0.3"/>
    <row r="486" ht="15.75" hidden="1" customHeight="1" x14ac:dyDescent="0.3"/>
    <row r="487" ht="15.75" hidden="1" customHeight="1" x14ac:dyDescent="0.3"/>
    <row r="488" ht="15.75" hidden="1" customHeight="1" x14ac:dyDescent="0.3"/>
    <row r="489" ht="15.75" hidden="1" customHeight="1" x14ac:dyDescent="0.3"/>
    <row r="490" ht="15.75" hidden="1" customHeight="1" x14ac:dyDescent="0.3"/>
    <row r="491" ht="15.75" hidden="1" customHeight="1" x14ac:dyDescent="0.3"/>
    <row r="492" ht="15.75" hidden="1" customHeight="1" x14ac:dyDescent="0.3"/>
    <row r="493" ht="15.75" hidden="1" customHeight="1" x14ac:dyDescent="0.3"/>
    <row r="494" ht="15.75" hidden="1" customHeight="1" x14ac:dyDescent="0.3"/>
    <row r="495" ht="15.75" hidden="1" customHeight="1" x14ac:dyDescent="0.3"/>
    <row r="496" ht="15.75" hidden="1" customHeight="1" x14ac:dyDescent="0.3"/>
    <row r="497" ht="15.75" hidden="1" customHeight="1" x14ac:dyDescent="0.3"/>
    <row r="498" ht="15.75" hidden="1" customHeight="1" x14ac:dyDescent="0.3"/>
    <row r="499" ht="15.75" hidden="1" customHeight="1" x14ac:dyDescent="0.3"/>
    <row r="500" ht="15.75" hidden="1" customHeight="1" x14ac:dyDescent="0.3"/>
    <row r="501" ht="15.75" hidden="1" customHeight="1" x14ac:dyDescent="0.3"/>
    <row r="502" ht="15.75" hidden="1" customHeight="1" x14ac:dyDescent="0.3"/>
    <row r="503" ht="15.75" hidden="1" customHeight="1" x14ac:dyDescent="0.3"/>
    <row r="504" ht="15.75" hidden="1" customHeight="1" x14ac:dyDescent="0.3"/>
    <row r="505" ht="15.75" hidden="1" customHeight="1" x14ac:dyDescent="0.3"/>
    <row r="506" ht="15.75" hidden="1" customHeight="1" x14ac:dyDescent="0.3"/>
    <row r="507" ht="15.75" hidden="1" customHeight="1" x14ac:dyDescent="0.3"/>
    <row r="508" ht="15.75" hidden="1" customHeight="1" x14ac:dyDescent="0.3"/>
    <row r="509" ht="15.75" hidden="1" customHeight="1" x14ac:dyDescent="0.3"/>
    <row r="510" ht="15.75" hidden="1" customHeight="1" x14ac:dyDescent="0.3"/>
    <row r="511" ht="15.75" hidden="1" customHeight="1" x14ac:dyDescent="0.3"/>
    <row r="512" ht="15.75" hidden="1" customHeight="1" x14ac:dyDescent="0.3"/>
    <row r="513" ht="15.75" hidden="1" customHeight="1" x14ac:dyDescent="0.3"/>
    <row r="514" ht="15.75" hidden="1" customHeight="1" x14ac:dyDescent="0.3"/>
    <row r="515" ht="15.75" hidden="1" customHeight="1" x14ac:dyDescent="0.3"/>
    <row r="516" ht="15.75" hidden="1" customHeight="1" x14ac:dyDescent="0.3"/>
    <row r="517" ht="15.75" hidden="1" customHeight="1" x14ac:dyDescent="0.3"/>
    <row r="518" ht="15.75" hidden="1" customHeight="1" x14ac:dyDescent="0.3"/>
    <row r="519" ht="15.75" hidden="1" customHeight="1" x14ac:dyDescent="0.3"/>
    <row r="520" ht="15.75" hidden="1" customHeight="1" x14ac:dyDescent="0.3"/>
    <row r="521" ht="15.75" hidden="1" customHeight="1" x14ac:dyDescent="0.3"/>
    <row r="522" ht="15.75" hidden="1" customHeight="1" x14ac:dyDescent="0.3"/>
    <row r="523" ht="15.75" hidden="1" customHeight="1" x14ac:dyDescent="0.3"/>
    <row r="524" ht="15.75" hidden="1" customHeight="1" x14ac:dyDescent="0.3"/>
    <row r="525" ht="15.75" hidden="1" customHeight="1" x14ac:dyDescent="0.3"/>
    <row r="526" ht="15.75" hidden="1" customHeight="1" x14ac:dyDescent="0.3"/>
    <row r="527" ht="15.75" hidden="1" customHeight="1" x14ac:dyDescent="0.3"/>
    <row r="528" ht="15.75" hidden="1" customHeight="1" x14ac:dyDescent="0.3"/>
    <row r="529" ht="15.75" hidden="1" customHeight="1" x14ac:dyDescent="0.3"/>
    <row r="530" ht="15.75" hidden="1" customHeight="1" x14ac:dyDescent="0.3"/>
    <row r="531" ht="15.75" hidden="1" customHeight="1" x14ac:dyDescent="0.3"/>
    <row r="532" ht="15.75" hidden="1" customHeight="1" x14ac:dyDescent="0.3"/>
    <row r="533" ht="15.75" hidden="1" customHeight="1" x14ac:dyDescent="0.3"/>
    <row r="534" ht="15.75" hidden="1" customHeight="1" x14ac:dyDescent="0.3"/>
    <row r="535" ht="15.75" hidden="1" customHeight="1" x14ac:dyDescent="0.3"/>
    <row r="536" ht="15.75" hidden="1" customHeight="1" x14ac:dyDescent="0.3"/>
    <row r="537" ht="15.75" hidden="1" customHeight="1" x14ac:dyDescent="0.3"/>
    <row r="538" ht="15.75" hidden="1" customHeight="1" x14ac:dyDescent="0.3"/>
    <row r="539" ht="15.75" hidden="1" customHeight="1" x14ac:dyDescent="0.3"/>
    <row r="540" ht="15.75" hidden="1" customHeight="1" x14ac:dyDescent="0.3"/>
    <row r="541" ht="15.75" hidden="1" customHeight="1" x14ac:dyDescent="0.3"/>
    <row r="542" ht="15.75" hidden="1" customHeight="1" x14ac:dyDescent="0.3"/>
    <row r="543" ht="15.75" hidden="1" customHeight="1" x14ac:dyDescent="0.3"/>
    <row r="544" ht="15.75" hidden="1" customHeight="1" x14ac:dyDescent="0.3"/>
    <row r="545" ht="15.75" hidden="1" customHeight="1" x14ac:dyDescent="0.3"/>
    <row r="546" ht="15.75" hidden="1" customHeight="1" x14ac:dyDescent="0.3"/>
    <row r="547" ht="15.75" hidden="1" customHeight="1" x14ac:dyDescent="0.3"/>
    <row r="548" ht="15.75" hidden="1" customHeight="1" x14ac:dyDescent="0.3"/>
    <row r="549" ht="15.75" hidden="1" customHeight="1" x14ac:dyDescent="0.3"/>
    <row r="550" ht="15.75" hidden="1" customHeight="1" x14ac:dyDescent="0.3"/>
    <row r="551" ht="15.75" hidden="1" customHeight="1" x14ac:dyDescent="0.3"/>
    <row r="552" ht="15.75" hidden="1" customHeight="1" x14ac:dyDescent="0.3"/>
    <row r="553" ht="15.75" hidden="1" customHeight="1" x14ac:dyDescent="0.3"/>
    <row r="554" ht="15.75" hidden="1" customHeight="1" x14ac:dyDescent="0.3"/>
    <row r="555" ht="15.75" hidden="1" customHeight="1" x14ac:dyDescent="0.3"/>
    <row r="556" ht="15.75" hidden="1" customHeight="1" x14ac:dyDescent="0.3"/>
    <row r="557" ht="15.75" hidden="1" customHeight="1" x14ac:dyDescent="0.3"/>
    <row r="558" ht="15.75" hidden="1" customHeight="1" x14ac:dyDescent="0.3"/>
    <row r="559" ht="15.75" hidden="1" customHeight="1" x14ac:dyDescent="0.3"/>
    <row r="560" ht="15.75" hidden="1" customHeight="1" x14ac:dyDescent="0.3"/>
    <row r="561" ht="15.75" hidden="1" customHeight="1" x14ac:dyDescent="0.3"/>
    <row r="562" ht="15.75" hidden="1" customHeight="1" x14ac:dyDescent="0.3"/>
    <row r="563" ht="15.75" hidden="1" customHeight="1" x14ac:dyDescent="0.3"/>
    <row r="564" ht="15.75" hidden="1" customHeight="1" x14ac:dyDescent="0.3"/>
    <row r="565" ht="15.75" hidden="1" customHeight="1" x14ac:dyDescent="0.3"/>
    <row r="566" ht="15.75" hidden="1" customHeight="1" x14ac:dyDescent="0.3"/>
    <row r="567" ht="15.75" hidden="1" customHeight="1" x14ac:dyDescent="0.3"/>
    <row r="568" ht="15.75" hidden="1" customHeight="1" x14ac:dyDescent="0.3"/>
    <row r="569" ht="15.75" hidden="1" customHeight="1" x14ac:dyDescent="0.3"/>
    <row r="570" ht="15.75" hidden="1" customHeight="1" x14ac:dyDescent="0.3"/>
    <row r="571" ht="15.75" hidden="1" customHeight="1" x14ac:dyDescent="0.3"/>
    <row r="572" ht="15.75" hidden="1" customHeight="1" x14ac:dyDescent="0.3"/>
    <row r="573" ht="15.75" hidden="1" customHeight="1" x14ac:dyDescent="0.3"/>
    <row r="574" ht="15.75" hidden="1" customHeight="1" x14ac:dyDescent="0.3"/>
    <row r="575" ht="15.75" hidden="1" customHeight="1" x14ac:dyDescent="0.3"/>
    <row r="576" ht="15.75" hidden="1" customHeight="1" x14ac:dyDescent="0.3"/>
    <row r="577" ht="15.75" hidden="1" customHeight="1" x14ac:dyDescent="0.3"/>
    <row r="578" ht="15.75" hidden="1" customHeight="1" x14ac:dyDescent="0.3"/>
    <row r="579" ht="15.75" hidden="1" customHeight="1" x14ac:dyDescent="0.3"/>
    <row r="580" ht="15.75" hidden="1" customHeight="1" x14ac:dyDescent="0.3"/>
    <row r="581" ht="15.75" hidden="1" customHeight="1" x14ac:dyDescent="0.3"/>
    <row r="582" ht="15.75" hidden="1" customHeight="1" x14ac:dyDescent="0.3"/>
    <row r="583" ht="15.75" hidden="1" customHeight="1" x14ac:dyDescent="0.3"/>
    <row r="584" ht="15.75" hidden="1" customHeight="1" x14ac:dyDescent="0.3"/>
    <row r="585" ht="15.75" hidden="1" customHeight="1" x14ac:dyDescent="0.3"/>
    <row r="586" ht="15.75" hidden="1" customHeight="1" x14ac:dyDescent="0.3"/>
    <row r="587" ht="15.75" hidden="1" customHeight="1" x14ac:dyDescent="0.3"/>
    <row r="588" ht="15.75" hidden="1" customHeight="1" x14ac:dyDescent="0.3"/>
    <row r="589" ht="15.75" hidden="1" customHeight="1" x14ac:dyDescent="0.3"/>
    <row r="590" ht="15.75" hidden="1" customHeight="1" x14ac:dyDescent="0.3"/>
    <row r="591" ht="15.75" hidden="1" customHeight="1" x14ac:dyDescent="0.3"/>
    <row r="592" ht="15.75" hidden="1" customHeight="1" x14ac:dyDescent="0.3"/>
    <row r="593" ht="15.75" hidden="1" customHeight="1" x14ac:dyDescent="0.3"/>
    <row r="594" ht="15.75" hidden="1" customHeight="1" x14ac:dyDescent="0.3"/>
    <row r="595" ht="15.75" hidden="1" customHeight="1" x14ac:dyDescent="0.3"/>
    <row r="596" ht="15.75" hidden="1" customHeight="1" x14ac:dyDescent="0.3"/>
    <row r="597" ht="15.75" hidden="1" customHeight="1" x14ac:dyDescent="0.3"/>
    <row r="598" ht="15.75" hidden="1" customHeight="1" x14ac:dyDescent="0.3"/>
    <row r="599" ht="15.75" hidden="1" customHeight="1" x14ac:dyDescent="0.3"/>
    <row r="600" ht="15.75" hidden="1" customHeight="1" x14ac:dyDescent="0.3"/>
    <row r="601" ht="15.75" hidden="1" customHeight="1" x14ac:dyDescent="0.3"/>
    <row r="602" ht="15.75" hidden="1" customHeight="1" x14ac:dyDescent="0.3"/>
    <row r="603" ht="15.75" hidden="1" customHeight="1" x14ac:dyDescent="0.3"/>
    <row r="604" ht="15.75" hidden="1" customHeight="1" x14ac:dyDescent="0.3"/>
    <row r="605" ht="15.75" hidden="1" customHeight="1" x14ac:dyDescent="0.3"/>
    <row r="606" ht="15.75" hidden="1" customHeight="1" x14ac:dyDescent="0.3"/>
    <row r="607" ht="15.75" hidden="1" customHeight="1" x14ac:dyDescent="0.3"/>
    <row r="608" ht="15.75" hidden="1" customHeight="1" x14ac:dyDescent="0.3"/>
    <row r="609" ht="15.75" hidden="1" customHeight="1" x14ac:dyDescent="0.3"/>
    <row r="610" ht="15.75" hidden="1" customHeight="1" x14ac:dyDescent="0.3"/>
    <row r="611" ht="15.75" hidden="1" customHeight="1" x14ac:dyDescent="0.3"/>
    <row r="612" ht="15.75" hidden="1" customHeight="1" x14ac:dyDescent="0.3"/>
    <row r="613" ht="15.75" hidden="1" customHeight="1" x14ac:dyDescent="0.3"/>
    <row r="614" ht="15.75" hidden="1" customHeight="1" x14ac:dyDescent="0.3"/>
    <row r="615" ht="15.75" hidden="1" customHeight="1" x14ac:dyDescent="0.3"/>
    <row r="616" ht="15.75" hidden="1" customHeight="1" x14ac:dyDescent="0.3"/>
    <row r="617" ht="15.75" hidden="1" customHeight="1" x14ac:dyDescent="0.3"/>
    <row r="618" ht="15.75" hidden="1" customHeight="1" x14ac:dyDescent="0.3"/>
    <row r="619" ht="15.75" hidden="1" customHeight="1" x14ac:dyDescent="0.3"/>
    <row r="620" ht="15.75" hidden="1" customHeight="1" x14ac:dyDescent="0.3"/>
    <row r="621" ht="15.75" hidden="1" customHeight="1" x14ac:dyDescent="0.3"/>
    <row r="622" ht="15.75" hidden="1" customHeight="1" x14ac:dyDescent="0.3"/>
    <row r="623" ht="15.75" hidden="1" customHeight="1" x14ac:dyDescent="0.3"/>
    <row r="624" ht="15.75" hidden="1" customHeight="1" x14ac:dyDescent="0.3"/>
    <row r="625" ht="15.75" hidden="1" customHeight="1" x14ac:dyDescent="0.3"/>
    <row r="626" ht="15.75" hidden="1" customHeight="1" x14ac:dyDescent="0.3"/>
    <row r="627" ht="15.75" hidden="1" customHeight="1" x14ac:dyDescent="0.3"/>
    <row r="628" ht="15.75" hidden="1" customHeight="1" x14ac:dyDescent="0.3"/>
    <row r="629" ht="15.75" hidden="1" customHeight="1" x14ac:dyDescent="0.3"/>
    <row r="630" ht="15.75" hidden="1" customHeight="1" x14ac:dyDescent="0.3"/>
    <row r="631" ht="15.75" hidden="1" customHeight="1" x14ac:dyDescent="0.3"/>
    <row r="632" ht="15.75" hidden="1" customHeight="1" x14ac:dyDescent="0.3"/>
    <row r="633" ht="15.75" hidden="1" customHeight="1" x14ac:dyDescent="0.3"/>
    <row r="634" ht="15.75" hidden="1" customHeight="1" x14ac:dyDescent="0.3"/>
    <row r="635" ht="15.75" hidden="1" customHeight="1" x14ac:dyDescent="0.3"/>
    <row r="636" ht="15.75" hidden="1" customHeight="1" x14ac:dyDescent="0.3"/>
    <row r="637" ht="15.75" hidden="1" customHeight="1" x14ac:dyDescent="0.3"/>
    <row r="638" ht="15.75" hidden="1" customHeight="1" x14ac:dyDescent="0.3"/>
    <row r="639" ht="15.75" hidden="1" customHeight="1" x14ac:dyDescent="0.3"/>
    <row r="640" ht="15.75" hidden="1" customHeight="1" x14ac:dyDescent="0.3"/>
    <row r="641" ht="15.75" hidden="1" customHeight="1" x14ac:dyDescent="0.3"/>
    <row r="642" ht="15.75" hidden="1" customHeight="1" x14ac:dyDescent="0.3"/>
    <row r="643" ht="15.75" hidden="1" customHeight="1" x14ac:dyDescent="0.3"/>
    <row r="644" ht="15.75" hidden="1" customHeight="1" x14ac:dyDescent="0.3"/>
    <row r="645" ht="15.75" hidden="1" customHeight="1" x14ac:dyDescent="0.3"/>
    <row r="646" ht="15.75" hidden="1" customHeight="1" x14ac:dyDescent="0.3"/>
    <row r="647" ht="15.75" hidden="1" customHeight="1" x14ac:dyDescent="0.3"/>
    <row r="648" ht="15.75" hidden="1" customHeight="1" x14ac:dyDescent="0.3"/>
    <row r="649" ht="15.75" hidden="1" customHeight="1" x14ac:dyDescent="0.3"/>
    <row r="650" ht="15.75" hidden="1" customHeight="1" x14ac:dyDescent="0.3"/>
    <row r="651" ht="15.75" hidden="1" customHeight="1" x14ac:dyDescent="0.3"/>
    <row r="652" ht="15.75" hidden="1" customHeight="1" x14ac:dyDescent="0.3"/>
    <row r="653" ht="15.75" hidden="1" customHeight="1" x14ac:dyDescent="0.3"/>
    <row r="654" ht="15.75" hidden="1" customHeight="1" x14ac:dyDescent="0.3"/>
    <row r="655" ht="15.75" hidden="1" customHeight="1" x14ac:dyDescent="0.3"/>
    <row r="656" ht="15.75" hidden="1" customHeight="1" x14ac:dyDescent="0.3"/>
    <row r="657" ht="15.75" hidden="1" customHeight="1" x14ac:dyDescent="0.3"/>
    <row r="658" ht="15.75" hidden="1" customHeight="1" x14ac:dyDescent="0.3"/>
    <row r="659" ht="15.75" hidden="1" customHeight="1" x14ac:dyDescent="0.3"/>
    <row r="660" ht="15.75" hidden="1" customHeight="1" x14ac:dyDescent="0.3"/>
    <row r="661" ht="15.75" hidden="1" customHeight="1" x14ac:dyDescent="0.3"/>
    <row r="662" ht="15.75" hidden="1" customHeight="1" x14ac:dyDescent="0.3"/>
    <row r="663" ht="15.75" hidden="1" customHeight="1" x14ac:dyDescent="0.3"/>
    <row r="664" ht="15.75" hidden="1" customHeight="1" x14ac:dyDescent="0.3"/>
    <row r="665" ht="15.75" hidden="1" customHeight="1" x14ac:dyDescent="0.3"/>
    <row r="666" ht="15.75" hidden="1" customHeight="1" x14ac:dyDescent="0.3"/>
    <row r="667" ht="15.75" hidden="1" customHeight="1" x14ac:dyDescent="0.3"/>
    <row r="668" ht="15.75" hidden="1" customHeight="1" x14ac:dyDescent="0.3"/>
    <row r="669" ht="15.75" hidden="1" customHeight="1" x14ac:dyDescent="0.3"/>
    <row r="670" ht="15.75" hidden="1" customHeight="1" x14ac:dyDescent="0.3"/>
    <row r="671" ht="15.75" hidden="1" customHeight="1" x14ac:dyDescent="0.3"/>
    <row r="672" ht="15.75" hidden="1" customHeight="1" x14ac:dyDescent="0.3"/>
    <row r="673" ht="15.75" hidden="1" customHeight="1" x14ac:dyDescent="0.3"/>
    <row r="674" ht="15.75" hidden="1" customHeight="1" x14ac:dyDescent="0.3"/>
    <row r="675" ht="15.75" hidden="1" customHeight="1" x14ac:dyDescent="0.3"/>
    <row r="676" ht="15.75" hidden="1" customHeight="1" x14ac:dyDescent="0.3"/>
    <row r="677" ht="15.75" hidden="1" customHeight="1" x14ac:dyDescent="0.3"/>
    <row r="678" ht="15.75" hidden="1" customHeight="1" x14ac:dyDescent="0.3"/>
    <row r="679" ht="15.75" hidden="1" customHeight="1" x14ac:dyDescent="0.3"/>
    <row r="680" ht="15.75" hidden="1" customHeight="1" x14ac:dyDescent="0.3"/>
    <row r="681" ht="15.75" hidden="1" customHeight="1" x14ac:dyDescent="0.3"/>
    <row r="682" ht="15.75" hidden="1" customHeight="1" x14ac:dyDescent="0.3"/>
    <row r="683" ht="15.75" hidden="1" customHeight="1" x14ac:dyDescent="0.3"/>
    <row r="684" ht="15.75" hidden="1" customHeight="1" x14ac:dyDescent="0.3"/>
    <row r="685" ht="15.75" hidden="1" customHeight="1" x14ac:dyDescent="0.3"/>
    <row r="686" ht="15.75" hidden="1" customHeight="1" x14ac:dyDescent="0.3"/>
    <row r="687" ht="15.75" hidden="1" customHeight="1" x14ac:dyDescent="0.3"/>
    <row r="688" ht="15.75" hidden="1" customHeight="1" x14ac:dyDescent="0.3"/>
    <row r="689" ht="15.75" hidden="1" customHeight="1" x14ac:dyDescent="0.3"/>
    <row r="690" ht="15.75" hidden="1" customHeight="1" x14ac:dyDescent="0.3"/>
    <row r="691" ht="15.75" hidden="1" customHeight="1" x14ac:dyDescent="0.3"/>
    <row r="692" ht="15.75" hidden="1" customHeight="1" x14ac:dyDescent="0.3"/>
    <row r="693" ht="15.75" hidden="1" customHeight="1" x14ac:dyDescent="0.3"/>
    <row r="694" ht="15.75" hidden="1" customHeight="1" x14ac:dyDescent="0.3"/>
    <row r="695" ht="15.75" hidden="1" customHeight="1" x14ac:dyDescent="0.3"/>
    <row r="696" ht="15.75" hidden="1" customHeight="1" x14ac:dyDescent="0.3"/>
    <row r="697" ht="15.75" hidden="1" customHeight="1" x14ac:dyDescent="0.3"/>
    <row r="698" ht="15.75" hidden="1" customHeight="1" x14ac:dyDescent="0.3"/>
    <row r="699" ht="15.75" hidden="1" customHeight="1" x14ac:dyDescent="0.3"/>
    <row r="700" ht="15.75" hidden="1" customHeight="1" x14ac:dyDescent="0.3"/>
    <row r="701" ht="15.75" hidden="1" customHeight="1" x14ac:dyDescent="0.3"/>
    <row r="702" ht="15.75" hidden="1" customHeight="1" x14ac:dyDescent="0.3"/>
    <row r="703" ht="15.75" hidden="1" customHeight="1" x14ac:dyDescent="0.3"/>
    <row r="704" ht="15.75" hidden="1" customHeight="1" x14ac:dyDescent="0.3"/>
    <row r="705" ht="15.75" hidden="1" customHeight="1" x14ac:dyDescent="0.3"/>
    <row r="706" ht="15.75" hidden="1" customHeight="1" x14ac:dyDescent="0.3"/>
    <row r="707" ht="15.75" hidden="1" customHeight="1" x14ac:dyDescent="0.3"/>
    <row r="708" ht="15.75" hidden="1" customHeight="1" x14ac:dyDescent="0.3"/>
    <row r="709" ht="15.75" hidden="1" customHeight="1" x14ac:dyDescent="0.3"/>
    <row r="710" ht="15.75" hidden="1" customHeight="1" x14ac:dyDescent="0.3"/>
    <row r="711" ht="15.75" hidden="1" customHeight="1" x14ac:dyDescent="0.3"/>
    <row r="712" ht="15.75" hidden="1" customHeight="1" x14ac:dyDescent="0.3"/>
    <row r="713" ht="15.75" hidden="1" customHeight="1" x14ac:dyDescent="0.3"/>
    <row r="714" ht="15.75" hidden="1" customHeight="1" x14ac:dyDescent="0.3"/>
    <row r="715" ht="15.75" hidden="1" customHeight="1" x14ac:dyDescent="0.3"/>
    <row r="716" ht="15.75" hidden="1" customHeight="1" x14ac:dyDescent="0.3"/>
    <row r="717" ht="15.75" hidden="1" customHeight="1" x14ac:dyDescent="0.3"/>
    <row r="718" ht="15.75" hidden="1" customHeight="1" x14ac:dyDescent="0.3"/>
    <row r="719" ht="15.75" hidden="1" customHeight="1" x14ac:dyDescent="0.3"/>
    <row r="720" ht="15.75" hidden="1" customHeight="1" x14ac:dyDescent="0.3"/>
    <row r="721" ht="15.75" hidden="1" customHeight="1" x14ac:dyDescent="0.3"/>
    <row r="722" ht="15.75" hidden="1" customHeight="1" x14ac:dyDescent="0.3"/>
    <row r="723" ht="15.75" hidden="1" customHeight="1" x14ac:dyDescent="0.3"/>
    <row r="724" ht="15.75" hidden="1" customHeight="1" x14ac:dyDescent="0.3"/>
    <row r="725" ht="15.75" hidden="1" customHeight="1" x14ac:dyDescent="0.3"/>
    <row r="726" ht="15.75" hidden="1" customHeight="1" x14ac:dyDescent="0.3"/>
    <row r="727" ht="15.75" hidden="1" customHeight="1" x14ac:dyDescent="0.3"/>
    <row r="728" ht="15.75" hidden="1" customHeight="1" x14ac:dyDescent="0.3"/>
    <row r="729" ht="15.75" hidden="1" customHeight="1" x14ac:dyDescent="0.3"/>
    <row r="730" ht="15.75" hidden="1" customHeight="1" x14ac:dyDescent="0.3"/>
    <row r="731" ht="15.75" hidden="1" customHeight="1" x14ac:dyDescent="0.3"/>
    <row r="732" ht="15.75" hidden="1" customHeight="1" x14ac:dyDescent="0.3"/>
    <row r="733" ht="15.75" hidden="1" customHeight="1" x14ac:dyDescent="0.3"/>
    <row r="734" ht="15.75" hidden="1" customHeight="1" x14ac:dyDescent="0.3"/>
    <row r="735" ht="15.75" hidden="1" customHeight="1" x14ac:dyDescent="0.3"/>
    <row r="736" ht="15.75" hidden="1" customHeight="1" x14ac:dyDescent="0.3"/>
    <row r="737" ht="15.75" hidden="1" customHeight="1" x14ac:dyDescent="0.3"/>
    <row r="738" ht="15.75" hidden="1" customHeight="1" x14ac:dyDescent="0.3"/>
    <row r="739" ht="15.75" hidden="1" customHeight="1" x14ac:dyDescent="0.3"/>
    <row r="740" ht="15.75" hidden="1" customHeight="1" x14ac:dyDescent="0.3"/>
    <row r="741" ht="15.75" hidden="1" customHeight="1" x14ac:dyDescent="0.3"/>
    <row r="742" ht="15.75" hidden="1" customHeight="1" x14ac:dyDescent="0.3"/>
    <row r="743" ht="15.75" hidden="1" customHeight="1" x14ac:dyDescent="0.3"/>
    <row r="744" ht="15.75" hidden="1" customHeight="1" x14ac:dyDescent="0.3"/>
    <row r="745" ht="15.75" hidden="1" customHeight="1" x14ac:dyDescent="0.3"/>
    <row r="746" ht="15.75" hidden="1" customHeight="1" x14ac:dyDescent="0.3"/>
    <row r="747" ht="15.75" hidden="1" customHeight="1" x14ac:dyDescent="0.3"/>
    <row r="748" ht="15.75" hidden="1" customHeight="1" x14ac:dyDescent="0.3"/>
    <row r="749" ht="15.75" hidden="1" customHeight="1" x14ac:dyDescent="0.3"/>
    <row r="750" ht="15.75" hidden="1" customHeight="1" x14ac:dyDescent="0.3"/>
    <row r="751" ht="15.75" hidden="1" customHeight="1" x14ac:dyDescent="0.3"/>
    <row r="752" ht="15.75" hidden="1" customHeight="1" x14ac:dyDescent="0.3"/>
    <row r="753" ht="15.75" hidden="1" customHeight="1" x14ac:dyDescent="0.3"/>
    <row r="754" ht="15.75" hidden="1" customHeight="1" x14ac:dyDescent="0.3"/>
    <row r="755" ht="15.75" hidden="1" customHeight="1" x14ac:dyDescent="0.3"/>
    <row r="756" ht="15.75" hidden="1" customHeight="1" x14ac:dyDescent="0.3"/>
    <row r="757" ht="15.75" hidden="1" customHeight="1" x14ac:dyDescent="0.3"/>
    <row r="758" ht="15.75" hidden="1" customHeight="1" x14ac:dyDescent="0.3"/>
    <row r="759" ht="15.75" hidden="1" customHeight="1" x14ac:dyDescent="0.3"/>
    <row r="760" ht="15.75" hidden="1" customHeight="1" x14ac:dyDescent="0.3"/>
    <row r="761" ht="15.75" hidden="1" customHeight="1" x14ac:dyDescent="0.3"/>
    <row r="762" ht="15.75" hidden="1" customHeight="1" x14ac:dyDescent="0.3"/>
    <row r="763" ht="15.75" hidden="1" customHeight="1" x14ac:dyDescent="0.3"/>
    <row r="764" ht="15.75" hidden="1" customHeight="1" x14ac:dyDescent="0.3"/>
    <row r="765" ht="15.75" hidden="1" customHeight="1" x14ac:dyDescent="0.3"/>
    <row r="766" ht="15.75" hidden="1" customHeight="1" x14ac:dyDescent="0.3"/>
    <row r="767" ht="15.75" hidden="1" customHeight="1" x14ac:dyDescent="0.3"/>
    <row r="768" ht="15.75" hidden="1" customHeight="1" x14ac:dyDescent="0.3"/>
    <row r="769" ht="15.75" hidden="1" customHeight="1" x14ac:dyDescent="0.3"/>
    <row r="770" ht="15.75" hidden="1" customHeight="1" x14ac:dyDescent="0.3"/>
    <row r="771" ht="15.75" hidden="1" customHeight="1" x14ac:dyDescent="0.3"/>
    <row r="772" ht="15.75" hidden="1" customHeight="1" x14ac:dyDescent="0.3"/>
    <row r="773" ht="15.75" hidden="1" customHeight="1" x14ac:dyDescent="0.3"/>
    <row r="774" ht="15.75" hidden="1" customHeight="1" x14ac:dyDescent="0.3"/>
    <row r="775" ht="15.75" hidden="1" customHeight="1" x14ac:dyDescent="0.3"/>
    <row r="776" ht="15.75" hidden="1" customHeight="1" x14ac:dyDescent="0.3"/>
    <row r="777" ht="15.75" hidden="1" customHeight="1" x14ac:dyDescent="0.3"/>
    <row r="778" ht="15.75" hidden="1" customHeight="1" x14ac:dyDescent="0.3"/>
    <row r="779" ht="15.75" hidden="1" customHeight="1" x14ac:dyDescent="0.3"/>
    <row r="780" ht="15.75" hidden="1" customHeight="1" x14ac:dyDescent="0.3"/>
    <row r="781" ht="15.75" hidden="1" customHeight="1" x14ac:dyDescent="0.3"/>
    <row r="782" ht="15.75" hidden="1" customHeight="1" x14ac:dyDescent="0.3"/>
    <row r="783" ht="15.75" hidden="1" customHeight="1" x14ac:dyDescent="0.3"/>
    <row r="784" ht="15.75" hidden="1" customHeight="1" x14ac:dyDescent="0.3"/>
    <row r="785" ht="15.75" hidden="1" customHeight="1" x14ac:dyDescent="0.3"/>
    <row r="786" ht="15.75" hidden="1" customHeight="1" x14ac:dyDescent="0.3"/>
    <row r="787" ht="15.75" hidden="1" customHeight="1" x14ac:dyDescent="0.3"/>
    <row r="788" ht="15.75" hidden="1" customHeight="1" x14ac:dyDescent="0.3"/>
    <row r="789" ht="15.75" hidden="1" customHeight="1" x14ac:dyDescent="0.3"/>
    <row r="790" ht="15.75" hidden="1" customHeight="1" x14ac:dyDescent="0.3"/>
    <row r="791" ht="15.75" hidden="1" customHeight="1" x14ac:dyDescent="0.3"/>
    <row r="792" ht="15.75" hidden="1" customHeight="1" x14ac:dyDescent="0.3"/>
    <row r="793" ht="15.75" hidden="1" customHeight="1" x14ac:dyDescent="0.3"/>
    <row r="794" ht="15.75" hidden="1" customHeight="1" x14ac:dyDescent="0.3"/>
    <row r="795" ht="15.75" hidden="1" customHeight="1" x14ac:dyDescent="0.3"/>
    <row r="796" ht="15.75" hidden="1" customHeight="1" x14ac:dyDescent="0.3"/>
    <row r="797" ht="15.75" hidden="1" customHeight="1" x14ac:dyDescent="0.3"/>
    <row r="798" ht="15.75" hidden="1" customHeight="1" x14ac:dyDescent="0.3"/>
    <row r="799" ht="15.75" hidden="1" customHeight="1" x14ac:dyDescent="0.3"/>
    <row r="800" ht="15.75" hidden="1" customHeight="1" x14ac:dyDescent="0.3"/>
    <row r="801" ht="15.75" hidden="1" customHeight="1" x14ac:dyDescent="0.3"/>
    <row r="802" ht="15.75" hidden="1" customHeight="1" x14ac:dyDescent="0.3"/>
    <row r="803" ht="15.75" hidden="1" customHeight="1" x14ac:dyDescent="0.3"/>
    <row r="804" ht="15.75" hidden="1" customHeight="1" x14ac:dyDescent="0.3"/>
    <row r="805" ht="15.75" hidden="1" customHeight="1" x14ac:dyDescent="0.3"/>
    <row r="806" ht="15.75" hidden="1" customHeight="1" x14ac:dyDescent="0.3"/>
    <row r="807" ht="15.75" hidden="1" customHeight="1" x14ac:dyDescent="0.3"/>
    <row r="808" ht="15.75" hidden="1" customHeight="1" x14ac:dyDescent="0.3"/>
    <row r="809" ht="15.75" hidden="1" customHeight="1" x14ac:dyDescent="0.3"/>
    <row r="810" ht="15.75" hidden="1" customHeight="1" x14ac:dyDescent="0.3"/>
    <row r="811" ht="15.75" hidden="1" customHeight="1" x14ac:dyDescent="0.3"/>
    <row r="812" ht="15.75" hidden="1" customHeight="1" x14ac:dyDescent="0.3"/>
    <row r="813" ht="15.75" hidden="1" customHeight="1" x14ac:dyDescent="0.3"/>
    <row r="814" ht="15.75" hidden="1" customHeight="1" x14ac:dyDescent="0.3"/>
    <row r="815" ht="15.75" hidden="1" customHeight="1" x14ac:dyDescent="0.3"/>
    <row r="816" ht="15.75" hidden="1" customHeight="1" x14ac:dyDescent="0.3"/>
    <row r="817" ht="15.75" hidden="1" customHeight="1" x14ac:dyDescent="0.3"/>
    <row r="818" ht="15.75" hidden="1" customHeight="1" x14ac:dyDescent="0.3"/>
    <row r="819" ht="15.75" hidden="1" customHeight="1" x14ac:dyDescent="0.3"/>
    <row r="820" ht="15.75" hidden="1" customHeight="1" x14ac:dyDescent="0.3"/>
    <row r="821" ht="15.75" hidden="1" customHeight="1" x14ac:dyDescent="0.3"/>
    <row r="822" ht="15.75" hidden="1" customHeight="1" x14ac:dyDescent="0.3"/>
    <row r="823" ht="15.75" hidden="1" customHeight="1" x14ac:dyDescent="0.3"/>
    <row r="824" ht="15.75" hidden="1" customHeight="1" x14ac:dyDescent="0.3"/>
    <row r="825" ht="15.75" hidden="1" customHeight="1" x14ac:dyDescent="0.3"/>
    <row r="826" ht="15.75" hidden="1" customHeight="1" x14ac:dyDescent="0.3"/>
    <row r="827" ht="15.75" hidden="1" customHeight="1" x14ac:dyDescent="0.3"/>
    <row r="828" ht="15.75" hidden="1" customHeight="1" x14ac:dyDescent="0.3"/>
    <row r="829" ht="15.75" hidden="1" customHeight="1" x14ac:dyDescent="0.3"/>
    <row r="830" ht="15.75" hidden="1" customHeight="1" x14ac:dyDescent="0.3"/>
    <row r="831" ht="15.75" hidden="1" customHeight="1" x14ac:dyDescent="0.3"/>
    <row r="832" ht="15.75" hidden="1" customHeight="1" x14ac:dyDescent="0.3"/>
    <row r="833" ht="15.75" hidden="1" customHeight="1" x14ac:dyDescent="0.3"/>
    <row r="834" ht="15.75" hidden="1" customHeight="1" x14ac:dyDescent="0.3"/>
    <row r="835" ht="15.75" hidden="1" customHeight="1" x14ac:dyDescent="0.3"/>
    <row r="836" ht="15.75" hidden="1" customHeight="1" x14ac:dyDescent="0.3"/>
    <row r="837" ht="15.75" hidden="1" customHeight="1" x14ac:dyDescent="0.3"/>
    <row r="838" ht="15.75" hidden="1" customHeight="1" x14ac:dyDescent="0.3"/>
    <row r="839" ht="15.75" hidden="1" customHeight="1" x14ac:dyDescent="0.3"/>
    <row r="840" ht="15.75" hidden="1" customHeight="1" x14ac:dyDescent="0.3"/>
    <row r="841" ht="15.75" hidden="1" customHeight="1" x14ac:dyDescent="0.3"/>
    <row r="842" ht="15.75" hidden="1" customHeight="1" x14ac:dyDescent="0.3"/>
    <row r="843" ht="15.75" hidden="1" customHeight="1" x14ac:dyDescent="0.3"/>
    <row r="844" ht="15.75" hidden="1" customHeight="1" x14ac:dyDescent="0.3"/>
    <row r="845" ht="15.75" hidden="1" customHeight="1" x14ac:dyDescent="0.3"/>
    <row r="846" ht="15.75" hidden="1" customHeight="1" x14ac:dyDescent="0.3"/>
    <row r="847" ht="15.75" hidden="1" customHeight="1" x14ac:dyDescent="0.3"/>
    <row r="848" ht="15.75" hidden="1" customHeight="1" x14ac:dyDescent="0.3"/>
    <row r="849" ht="15.75" hidden="1" customHeight="1" x14ac:dyDescent="0.3"/>
    <row r="850" ht="15.75" hidden="1" customHeight="1" x14ac:dyDescent="0.3"/>
    <row r="851" ht="15.75" hidden="1" customHeight="1" x14ac:dyDescent="0.3"/>
    <row r="852" ht="15.75" hidden="1" customHeight="1" x14ac:dyDescent="0.3"/>
    <row r="853" ht="15.75" hidden="1" customHeight="1" x14ac:dyDescent="0.3"/>
    <row r="854" ht="15.75" hidden="1" customHeight="1" x14ac:dyDescent="0.3"/>
    <row r="855" ht="15.75" hidden="1" customHeight="1" x14ac:dyDescent="0.3"/>
    <row r="856" ht="15.75" hidden="1" customHeight="1" x14ac:dyDescent="0.3"/>
    <row r="857" ht="15.75" hidden="1" customHeight="1" x14ac:dyDescent="0.3"/>
    <row r="858" ht="15.75" hidden="1" customHeight="1" x14ac:dyDescent="0.3"/>
    <row r="859" ht="15.75" hidden="1" customHeight="1" x14ac:dyDescent="0.3"/>
    <row r="860" ht="15.75" hidden="1" customHeight="1" x14ac:dyDescent="0.3"/>
    <row r="861" ht="15.75" hidden="1" customHeight="1" x14ac:dyDescent="0.3"/>
    <row r="862" ht="15.75" hidden="1" customHeight="1" x14ac:dyDescent="0.3"/>
    <row r="863" ht="15.75" hidden="1" customHeight="1" x14ac:dyDescent="0.3"/>
    <row r="864" ht="15.75" hidden="1" customHeight="1" x14ac:dyDescent="0.3"/>
    <row r="865" ht="15.75" hidden="1" customHeight="1" x14ac:dyDescent="0.3"/>
    <row r="866" ht="15.75" hidden="1" customHeight="1" x14ac:dyDescent="0.3"/>
    <row r="867" ht="15.75" hidden="1" customHeight="1" x14ac:dyDescent="0.3"/>
    <row r="868" ht="15.75" hidden="1" customHeight="1" x14ac:dyDescent="0.3"/>
    <row r="869" ht="15.75" hidden="1" customHeight="1" x14ac:dyDescent="0.3"/>
    <row r="870" ht="15.75" hidden="1" customHeight="1" x14ac:dyDescent="0.3"/>
    <row r="871" ht="15.75" hidden="1" customHeight="1" x14ac:dyDescent="0.3"/>
    <row r="872" ht="15.75" hidden="1" customHeight="1" x14ac:dyDescent="0.3"/>
    <row r="873" ht="15.75" hidden="1" customHeight="1" x14ac:dyDescent="0.3"/>
    <row r="874" ht="15.75" hidden="1" customHeight="1" x14ac:dyDescent="0.3"/>
    <row r="875" ht="15.75" hidden="1" customHeight="1" x14ac:dyDescent="0.3"/>
    <row r="876" ht="15.75" hidden="1" customHeight="1" x14ac:dyDescent="0.3"/>
    <row r="877" ht="15.75" hidden="1" customHeight="1" x14ac:dyDescent="0.3"/>
    <row r="878" ht="15.75" hidden="1" customHeight="1" x14ac:dyDescent="0.3"/>
    <row r="879" ht="15.75" hidden="1" customHeight="1" x14ac:dyDescent="0.3"/>
    <row r="880" ht="15.75" hidden="1" customHeight="1" x14ac:dyDescent="0.3"/>
    <row r="881" ht="15.75" hidden="1" customHeight="1" x14ac:dyDescent="0.3"/>
    <row r="882" ht="15.75" hidden="1" customHeight="1" x14ac:dyDescent="0.3"/>
    <row r="883" ht="15.75" hidden="1" customHeight="1" x14ac:dyDescent="0.3"/>
    <row r="884" ht="15.75" hidden="1" customHeight="1" x14ac:dyDescent="0.3"/>
    <row r="885" ht="15.75" hidden="1" customHeight="1" x14ac:dyDescent="0.3"/>
    <row r="886" ht="15.75" hidden="1" customHeight="1" x14ac:dyDescent="0.3"/>
    <row r="887" ht="15.75" hidden="1" customHeight="1" x14ac:dyDescent="0.3"/>
    <row r="888" ht="15.75" hidden="1" customHeight="1" x14ac:dyDescent="0.3"/>
    <row r="889" ht="15.75" hidden="1" customHeight="1" x14ac:dyDescent="0.3"/>
    <row r="890" ht="15.75" hidden="1" customHeight="1" x14ac:dyDescent="0.3"/>
    <row r="891" ht="15.75" hidden="1" customHeight="1" x14ac:dyDescent="0.3"/>
    <row r="892" ht="15.75" hidden="1" customHeight="1" x14ac:dyDescent="0.3"/>
    <row r="893" ht="15.75" hidden="1" customHeight="1" x14ac:dyDescent="0.3"/>
    <row r="894" ht="15.75" hidden="1" customHeight="1" x14ac:dyDescent="0.3"/>
    <row r="895" ht="15.75" hidden="1" customHeight="1" x14ac:dyDescent="0.3"/>
    <row r="896" ht="15.75" hidden="1" customHeight="1" x14ac:dyDescent="0.3"/>
    <row r="897" ht="15.75" hidden="1" customHeight="1" x14ac:dyDescent="0.3"/>
    <row r="898" ht="15.75" hidden="1" customHeight="1" x14ac:dyDescent="0.3"/>
    <row r="899" ht="15.75" hidden="1" customHeight="1" x14ac:dyDescent="0.3"/>
    <row r="900" ht="15.75" hidden="1" customHeight="1" x14ac:dyDescent="0.3"/>
    <row r="901" ht="15.75" hidden="1" customHeight="1" x14ac:dyDescent="0.3"/>
    <row r="902" ht="15.75" hidden="1" customHeight="1" x14ac:dyDescent="0.3"/>
    <row r="903" ht="15.75" hidden="1" customHeight="1" x14ac:dyDescent="0.3"/>
    <row r="904" ht="15.75" hidden="1" customHeight="1" x14ac:dyDescent="0.3"/>
    <row r="905" ht="15.75" hidden="1" customHeight="1" x14ac:dyDescent="0.3"/>
    <row r="906" ht="15.75" hidden="1" customHeight="1" x14ac:dyDescent="0.3"/>
    <row r="907" ht="15.75" hidden="1" customHeight="1" x14ac:dyDescent="0.3"/>
    <row r="908" ht="15.75" hidden="1" customHeight="1" x14ac:dyDescent="0.3"/>
    <row r="909" ht="15.75" hidden="1" customHeight="1" x14ac:dyDescent="0.3"/>
    <row r="910" ht="15.75" hidden="1" customHeight="1" x14ac:dyDescent="0.3"/>
    <row r="911" ht="15.75" hidden="1" customHeight="1" x14ac:dyDescent="0.3"/>
    <row r="912" ht="15.75" hidden="1" customHeight="1" x14ac:dyDescent="0.3"/>
    <row r="913" ht="15.75" hidden="1" customHeight="1" x14ac:dyDescent="0.3"/>
    <row r="914" ht="15.75" hidden="1" customHeight="1" x14ac:dyDescent="0.3"/>
    <row r="915" ht="15.75" hidden="1" customHeight="1" x14ac:dyDescent="0.3"/>
    <row r="916" ht="15.75" hidden="1" customHeight="1" x14ac:dyDescent="0.3"/>
    <row r="917" ht="15.75" hidden="1" customHeight="1" x14ac:dyDescent="0.3"/>
    <row r="918" ht="15.75" hidden="1" customHeight="1" x14ac:dyDescent="0.3"/>
    <row r="919" ht="15.75" hidden="1" customHeight="1" x14ac:dyDescent="0.3"/>
    <row r="920" ht="15.75" hidden="1" customHeight="1" x14ac:dyDescent="0.3"/>
    <row r="921" ht="15.75" hidden="1" customHeight="1" x14ac:dyDescent="0.3"/>
    <row r="922" ht="15.75" hidden="1" customHeight="1" x14ac:dyDescent="0.3"/>
    <row r="923" ht="15.75" hidden="1" customHeight="1" x14ac:dyDescent="0.3"/>
    <row r="924" ht="15.75" hidden="1" customHeight="1" x14ac:dyDescent="0.3"/>
    <row r="925" ht="15.75" hidden="1" customHeight="1" x14ac:dyDescent="0.3"/>
    <row r="926" ht="15.75" hidden="1" customHeight="1" x14ac:dyDescent="0.3"/>
    <row r="927" ht="15.75" hidden="1" customHeight="1" x14ac:dyDescent="0.3"/>
    <row r="928" ht="15.75" hidden="1" customHeight="1" x14ac:dyDescent="0.3"/>
    <row r="929" ht="15.75" hidden="1" customHeight="1" x14ac:dyDescent="0.3"/>
    <row r="930" ht="15.75" hidden="1" customHeight="1" x14ac:dyDescent="0.3"/>
    <row r="931" ht="15.75" hidden="1" customHeight="1" x14ac:dyDescent="0.3"/>
    <row r="932" ht="15.75" hidden="1" customHeight="1" x14ac:dyDescent="0.3"/>
    <row r="933" ht="15.75" hidden="1" customHeight="1" x14ac:dyDescent="0.3"/>
    <row r="934" ht="15.75" hidden="1" customHeight="1" x14ac:dyDescent="0.3"/>
    <row r="935" ht="15.75" hidden="1" customHeight="1" x14ac:dyDescent="0.3"/>
    <row r="936" ht="15.75" hidden="1" customHeight="1" x14ac:dyDescent="0.3"/>
    <row r="937" ht="15.75" hidden="1" customHeight="1" x14ac:dyDescent="0.3"/>
    <row r="938" ht="15.75" hidden="1" customHeight="1" x14ac:dyDescent="0.3"/>
    <row r="939" ht="15.75" hidden="1" customHeight="1" x14ac:dyDescent="0.3"/>
    <row r="940" ht="15.75" hidden="1" customHeight="1" x14ac:dyDescent="0.3"/>
    <row r="941" ht="15.75" hidden="1" customHeight="1" x14ac:dyDescent="0.3"/>
    <row r="942" ht="15.75" hidden="1" customHeight="1" x14ac:dyDescent="0.3"/>
    <row r="943" ht="15.75" hidden="1" customHeight="1" x14ac:dyDescent="0.3"/>
    <row r="944" ht="15.75" hidden="1" customHeight="1" x14ac:dyDescent="0.3"/>
    <row r="945" ht="15.75" hidden="1" customHeight="1" x14ac:dyDescent="0.3"/>
    <row r="946" ht="15.75" hidden="1" customHeight="1" x14ac:dyDescent="0.3"/>
    <row r="947" ht="15.75" hidden="1" customHeight="1" x14ac:dyDescent="0.3"/>
    <row r="948" ht="15.75" hidden="1" customHeight="1" x14ac:dyDescent="0.3"/>
    <row r="949" ht="15.75" hidden="1" customHeight="1" x14ac:dyDescent="0.3"/>
    <row r="950" ht="15.75" hidden="1" customHeight="1" x14ac:dyDescent="0.3"/>
    <row r="951" ht="15.75" hidden="1" customHeight="1" x14ac:dyDescent="0.3"/>
    <row r="952" ht="15.75" hidden="1" customHeight="1" x14ac:dyDescent="0.3"/>
    <row r="953" ht="15.75" hidden="1" customHeight="1" x14ac:dyDescent="0.3"/>
    <row r="954" ht="15.75" hidden="1" customHeight="1" x14ac:dyDescent="0.3"/>
    <row r="955" ht="15.75" hidden="1" customHeight="1" x14ac:dyDescent="0.3"/>
    <row r="956" ht="15.75" hidden="1" customHeight="1" x14ac:dyDescent="0.3"/>
    <row r="957" ht="15.75" hidden="1" customHeight="1" x14ac:dyDescent="0.3"/>
    <row r="958" ht="15.75" hidden="1" customHeight="1" x14ac:dyDescent="0.3"/>
    <row r="959" ht="15.75" hidden="1" customHeight="1" x14ac:dyDescent="0.3"/>
    <row r="960" ht="15.75" hidden="1" customHeight="1" x14ac:dyDescent="0.3"/>
    <row r="961" ht="15.75" hidden="1" customHeight="1" x14ac:dyDescent="0.3"/>
    <row r="962" ht="15.75" hidden="1" customHeight="1" x14ac:dyDescent="0.3"/>
    <row r="963" ht="15.75" hidden="1" customHeight="1" x14ac:dyDescent="0.3"/>
    <row r="964" ht="15.75" hidden="1" customHeight="1" x14ac:dyDescent="0.3"/>
    <row r="965" ht="15.75" hidden="1" customHeight="1" x14ac:dyDescent="0.3"/>
    <row r="966" ht="15.75" hidden="1" customHeight="1" x14ac:dyDescent="0.3"/>
    <row r="967" ht="15.75" hidden="1" customHeight="1" x14ac:dyDescent="0.3"/>
    <row r="968" ht="15.75" hidden="1" customHeight="1" x14ac:dyDescent="0.3"/>
    <row r="969" ht="15.75" hidden="1" customHeight="1" x14ac:dyDescent="0.3"/>
    <row r="970" ht="15.75" hidden="1" customHeight="1" x14ac:dyDescent="0.3"/>
    <row r="971" ht="15.75" hidden="1" customHeight="1" x14ac:dyDescent="0.3"/>
    <row r="972" ht="15.75" hidden="1" customHeight="1" x14ac:dyDescent="0.3"/>
    <row r="973" ht="15.75" hidden="1" customHeight="1" x14ac:dyDescent="0.3"/>
    <row r="974" ht="15.75" hidden="1" customHeight="1" x14ac:dyDescent="0.3"/>
    <row r="975" ht="15.75" hidden="1" customHeight="1" x14ac:dyDescent="0.3"/>
    <row r="976" ht="15.75" hidden="1" customHeight="1" x14ac:dyDescent="0.3"/>
    <row r="977" ht="15.75" hidden="1" customHeight="1" x14ac:dyDescent="0.3"/>
    <row r="978" ht="15.75" hidden="1" customHeight="1" x14ac:dyDescent="0.3"/>
    <row r="979" ht="15.75" hidden="1" customHeight="1" x14ac:dyDescent="0.3"/>
    <row r="980" ht="15.75" hidden="1" customHeight="1" x14ac:dyDescent="0.3"/>
    <row r="981" ht="15.75" hidden="1" customHeight="1" x14ac:dyDescent="0.3"/>
    <row r="982" ht="15.75" hidden="1" customHeight="1" x14ac:dyDescent="0.3"/>
    <row r="983" ht="15.75" hidden="1" customHeight="1" x14ac:dyDescent="0.3"/>
    <row r="984" ht="15.75" hidden="1" customHeight="1" x14ac:dyDescent="0.3"/>
    <row r="985" ht="15.75" hidden="1" customHeight="1" x14ac:dyDescent="0.3"/>
    <row r="986" ht="15.75" hidden="1" customHeight="1" x14ac:dyDescent="0.3"/>
    <row r="987" ht="15.75" hidden="1" customHeight="1" x14ac:dyDescent="0.3"/>
    <row r="988" ht="15.75" hidden="1" customHeight="1" x14ac:dyDescent="0.3"/>
    <row r="989" ht="15.75" hidden="1" customHeight="1" x14ac:dyDescent="0.3"/>
    <row r="990" ht="15.75" hidden="1" customHeight="1" x14ac:dyDescent="0.3"/>
    <row r="991" ht="15.75" hidden="1" customHeight="1" x14ac:dyDescent="0.3"/>
    <row r="992" ht="15.75" hidden="1" customHeight="1" x14ac:dyDescent="0.3"/>
    <row r="993" ht="15.75" hidden="1" customHeight="1" x14ac:dyDescent="0.3"/>
    <row r="994" ht="15.75" hidden="1" customHeight="1" x14ac:dyDescent="0.3"/>
    <row r="995" ht="15.75" hidden="1" customHeight="1" x14ac:dyDescent="0.3"/>
    <row r="996" ht="15.75" hidden="1" customHeight="1" x14ac:dyDescent="0.3"/>
    <row r="997" ht="15.75" hidden="1" customHeight="1" x14ac:dyDescent="0.3"/>
    <row r="998" ht="15.75" hidden="1" customHeight="1" x14ac:dyDescent="0.3"/>
    <row r="999" ht="15.75" hidden="1" customHeight="1" x14ac:dyDescent="0.3"/>
    <row r="1000" ht="15.75" hidden="1" customHeight="1" x14ac:dyDescent="0.3"/>
  </sheetData>
  <mergeCells count="12">
    <mergeCell ref="A48:F48"/>
    <mergeCell ref="A1:F1"/>
    <mergeCell ref="A4:F5"/>
    <mergeCell ref="A6:F6"/>
    <mergeCell ref="J9:K9"/>
    <mergeCell ref="A23:F23"/>
    <mergeCell ref="A27:F27"/>
    <mergeCell ref="A33:F33"/>
    <mergeCell ref="A34:F34"/>
    <mergeCell ref="A37:F37"/>
    <mergeCell ref="A42:F42"/>
    <mergeCell ref="A45:F45"/>
  </mergeCells>
  <dataValidations count="2">
    <dataValidation type="list" allowBlank="1" showErrorMessage="1" sqref="J8" xr:uid="{640843A7-76F6-481D-89AE-E68365FEA298}">
      <formula1>#REF!</formula1>
    </dataValidation>
    <dataValidation type="decimal" allowBlank="1" showErrorMessage="1" sqref="D2" xr:uid="{0EB36C16-B6B8-4E41-9C95-A446E2BBCBDD}">
      <formula1>0</formula1>
      <formula2>10000000000000</formula2>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D00EB654-1558-4DCD-B7E9-2FD432A53334}">
          <x14:formula1>
            <xm:f>Listas!$G$2:$G$3</xm:f>
          </x14:formula1>
          <xm:sqref>B9:B12 B16:B22 B24 B29:B32 B46:B47 B64</xm:sqref>
        </x14:dataValidation>
        <x14:dataValidation type="list" allowBlank="1" showErrorMessage="1" xr:uid="{1EF68C3E-175F-4808-83A9-587E92949AF3}">
          <x14:formula1>
            <xm:f>Listas!$I$2:$I$3</xm:f>
          </x14:formula1>
          <xm:sqref>D3</xm:sqref>
        </x14:dataValidation>
        <x14:dataValidation type="list" allowBlank="1" showErrorMessage="1" xr:uid="{822AE14B-48C3-45C5-A7E4-57DAFD9C0B12}">
          <x14:formula1>
            <xm:f>Listas!$E$2:$E$3</xm:f>
          </x14:formula1>
          <xm:sqref>B3</xm:sqref>
        </x14:dataValidation>
        <x14:dataValidation type="list" allowBlank="1" showErrorMessage="1" xr:uid="{E50125D9-1960-4B90-9375-33A63B16EDB2}">
          <x14:formula1>
            <xm:f>Listas!$A$2:$A$6</xm:f>
          </x14:formula1>
          <xm:sqref>B2 C56</xm:sqref>
        </x14:dataValidation>
        <x14:dataValidation type="list" allowBlank="1" showErrorMessage="1" xr:uid="{1ADD6C84-F1BD-49D4-BD03-E245E681DE5E}">
          <x14:formula1>
            <xm:f>Listas!$M$2:$M$5</xm:f>
          </x14:formula1>
          <xm:sqref>B14:B15</xm:sqref>
        </x14:dataValidation>
        <x14:dataValidation type="list" allowBlank="1" showErrorMessage="1" xr:uid="{81BCF25A-CC1E-4330-BE59-8FAE79837EEA}">
          <x14:formula1>
            <xm:f>Listas!$C$2:$C$9</xm:f>
          </x14:formula1>
          <xm:sqref>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0"/>
  <dimension ref="A1:C1000"/>
  <sheetViews>
    <sheetView workbookViewId="0">
      <selection activeCell="B3" sqref="B3"/>
    </sheetView>
  </sheetViews>
  <sheetFormatPr baseColWidth="10" defaultColWidth="14.44140625" defaultRowHeight="15" customHeight="1" x14ac:dyDescent="0.3"/>
  <cols>
    <col min="1" max="1" width="26.6640625" customWidth="1"/>
    <col min="2" max="2" width="64" customWidth="1"/>
    <col min="3" max="3" width="93.88671875" customWidth="1"/>
    <col min="4" max="6" width="10.6640625" customWidth="1"/>
  </cols>
  <sheetData>
    <row r="1" spans="1:3" ht="14.25" customHeight="1" x14ac:dyDescent="0.3">
      <c r="A1" s="121" t="s">
        <v>161</v>
      </c>
      <c r="B1" s="122" t="s">
        <v>162</v>
      </c>
      <c r="C1" s="123" t="s">
        <v>163</v>
      </c>
    </row>
    <row r="2" spans="1:3" ht="14.25" customHeight="1" x14ac:dyDescent="0.3">
      <c r="A2" s="384" t="s">
        <v>164</v>
      </c>
      <c r="B2" s="385"/>
      <c r="C2" s="386"/>
    </row>
    <row r="3" spans="1:3" ht="14.25" customHeight="1" x14ac:dyDescent="0.3">
      <c r="A3" s="124" t="s">
        <v>165</v>
      </c>
      <c r="B3" s="125" t="s">
        <v>981</v>
      </c>
      <c r="C3" s="126" t="s">
        <v>166</v>
      </c>
    </row>
    <row r="4" spans="1:3" ht="33.75" customHeight="1" x14ac:dyDescent="0.3">
      <c r="A4" s="127" t="s">
        <v>8</v>
      </c>
      <c r="B4" s="128"/>
      <c r="C4" s="129" t="s">
        <v>167</v>
      </c>
    </row>
    <row r="5" spans="1:3" ht="23.25" customHeight="1" x14ac:dyDescent="0.3">
      <c r="A5" s="127" t="s">
        <v>168</v>
      </c>
      <c r="B5" s="128"/>
      <c r="C5" s="129" t="s">
        <v>169</v>
      </c>
    </row>
    <row r="6" spans="1:3" ht="26.4" x14ac:dyDescent="0.3">
      <c r="A6" s="127" t="s">
        <v>170</v>
      </c>
      <c r="B6" s="128"/>
      <c r="C6" s="129" t="s">
        <v>171</v>
      </c>
    </row>
    <row r="7" spans="1:3" ht="14.4" x14ac:dyDescent="0.3">
      <c r="A7" s="127" t="s">
        <v>172</v>
      </c>
      <c r="B7" s="128"/>
      <c r="C7" s="129" t="s">
        <v>173</v>
      </c>
    </row>
    <row r="8" spans="1:3" ht="24.75" customHeight="1" x14ac:dyDescent="0.3">
      <c r="A8" s="127" t="s">
        <v>174</v>
      </c>
      <c r="B8" s="128"/>
      <c r="C8" s="129" t="s">
        <v>175</v>
      </c>
    </row>
    <row r="9" spans="1:3" ht="26.4" x14ac:dyDescent="0.3">
      <c r="A9" s="127" t="s">
        <v>176</v>
      </c>
      <c r="B9" s="128"/>
      <c r="C9" s="129" t="s">
        <v>177</v>
      </c>
    </row>
    <row r="10" spans="1:3" ht="14.25" customHeight="1" x14ac:dyDescent="0.3">
      <c r="A10" s="124" t="s">
        <v>178</v>
      </c>
      <c r="B10" s="130"/>
      <c r="C10" s="131" t="s">
        <v>179</v>
      </c>
    </row>
    <row r="11" spans="1:3" ht="26.25" customHeight="1" x14ac:dyDescent="0.3">
      <c r="A11" s="127" t="s">
        <v>180</v>
      </c>
      <c r="B11" s="128"/>
      <c r="C11" s="129" t="s">
        <v>181</v>
      </c>
    </row>
    <row r="12" spans="1:3" ht="14.25" customHeight="1" x14ac:dyDescent="0.3">
      <c r="A12" s="127" t="s">
        <v>182</v>
      </c>
      <c r="B12" s="128"/>
      <c r="C12" s="129" t="s">
        <v>183</v>
      </c>
    </row>
    <row r="13" spans="1:3" ht="14.25" customHeight="1" x14ac:dyDescent="0.3">
      <c r="A13" s="127" t="s">
        <v>184</v>
      </c>
      <c r="B13" s="128"/>
      <c r="C13" s="129" t="s">
        <v>185</v>
      </c>
    </row>
    <row r="14" spans="1:3" ht="14.25" customHeight="1" x14ac:dyDescent="0.3">
      <c r="A14" s="127" t="s">
        <v>186</v>
      </c>
      <c r="B14" s="128"/>
      <c r="C14" s="129" t="s">
        <v>187</v>
      </c>
    </row>
    <row r="15" spans="1:3" ht="14.25" customHeight="1" x14ac:dyDescent="0.3">
      <c r="A15" s="127" t="s">
        <v>188</v>
      </c>
      <c r="B15" s="128"/>
      <c r="C15" s="129" t="s">
        <v>189</v>
      </c>
    </row>
    <row r="16" spans="1:3" ht="29.25" customHeight="1" x14ac:dyDescent="0.3">
      <c r="A16" s="127" t="s">
        <v>190</v>
      </c>
      <c r="B16" s="128"/>
      <c r="C16" s="129" t="s">
        <v>191</v>
      </c>
    </row>
    <row r="17" spans="1:3" ht="28.5" customHeight="1" x14ac:dyDescent="0.3">
      <c r="A17" s="127" t="s">
        <v>192</v>
      </c>
      <c r="B17" s="128"/>
      <c r="C17" s="129" t="s">
        <v>193</v>
      </c>
    </row>
    <row r="18" spans="1:3" ht="26.4" x14ac:dyDescent="0.3">
      <c r="A18" s="127" t="s">
        <v>194</v>
      </c>
      <c r="B18" s="128"/>
      <c r="C18" s="129" t="s">
        <v>195</v>
      </c>
    </row>
    <row r="19" spans="1:3" ht="39.6" x14ac:dyDescent="0.3">
      <c r="A19" s="127" t="s">
        <v>196</v>
      </c>
      <c r="B19" s="128"/>
      <c r="C19" s="129" t="s">
        <v>197</v>
      </c>
    </row>
    <row r="20" spans="1:3" ht="39.6" x14ac:dyDescent="0.3">
      <c r="A20" s="127" t="s">
        <v>198</v>
      </c>
      <c r="B20" s="128"/>
      <c r="C20" s="129" t="s">
        <v>199</v>
      </c>
    </row>
    <row r="21" spans="1:3" ht="15.75" customHeight="1" x14ac:dyDescent="0.3">
      <c r="A21" s="127" t="s">
        <v>200</v>
      </c>
      <c r="B21" s="128"/>
      <c r="C21" s="129" t="s">
        <v>201</v>
      </c>
    </row>
    <row r="22" spans="1:3" ht="15.75" customHeight="1" x14ac:dyDescent="0.3">
      <c r="A22" s="127" t="s">
        <v>202</v>
      </c>
      <c r="B22" s="128"/>
      <c r="C22" s="129" t="s">
        <v>203</v>
      </c>
    </row>
    <row r="23" spans="1:3" ht="15.75" customHeight="1" x14ac:dyDescent="0.3">
      <c r="A23" s="127" t="s">
        <v>204</v>
      </c>
      <c r="B23" s="128"/>
      <c r="C23" s="129" t="s">
        <v>205</v>
      </c>
    </row>
    <row r="24" spans="1:3" ht="15.75" customHeight="1" x14ac:dyDescent="0.3">
      <c r="A24" s="127" t="s">
        <v>206</v>
      </c>
      <c r="B24" s="128"/>
      <c r="C24" s="129" t="s">
        <v>207</v>
      </c>
    </row>
    <row r="25" spans="1:3" ht="15.75" customHeight="1" x14ac:dyDescent="0.3">
      <c r="A25" s="127" t="s">
        <v>208</v>
      </c>
      <c r="B25" s="128"/>
      <c r="C25" s="129" t="s">
        <v>209</v>
      </c>
    </row>
    <row r="26" spans="1:3" ht="15.75" customHeight="1" x14ac:dyDescent="0.3">
      <c r="A26" s="127" t="s">
        <v>210</v>
      </c>
      <c r="B26" s="128"/>
      <c r="C26" s="129" t="s">
        <v>211</v>
      </c>
    </row>
    <row r="27" spans="1:3" ht="15.75" customHeight="1" x14ac:dyDescent="0.3">
      <c r="A27" s="127" t="s">
        <v>212</v>
      </c>
      <c r="B27" s="128"/>
      <c r="C27" s="129" t="s">
        <v>213</v>
      </c>
    </row>
    <row r="28" spans="1:3" ht="15.75" customHeight="1" x14ac:dyDescent="0.3">
      <c r="A28" s="127" t="s">
        <v>214</v>
      </c>
      <c r="B28" s="128"/>
      <c r="C28" s="129" t="s">
        <v>215</v>
      </c>
    </row>
    <row r="29" spans="1:3" ht="15.75" customHeight="1" x14ac:dyDescent="0.3">
      <c r="A29" s="132" t="s">
        <v>216</v>
      </c>
      <c r="B29" s="133"/>
      <c r="C29" s="134" t="s">
        <v>217</v>
      </c>
    </row>
    <row r="30" spans="1:3" ht="14.25" customHeight="1" x14ac:dyDescent="0.3">
      <c r="A30" s="384" t="s">
        <v>218</v>
      </c>
      <c r="B30" s="385"/>
      <c r="C30" s="386"/>
    </row>
    <row r="31" spans="1:3" ht="15.75" customHeight="1" x14ac:dyDescent="0.3">
      <c r="A31" s="124" t="s">
        <v>219</v>
      </c>
      <c r="B31" s="135"/>
      <c r="C31" s="134" t="s">
        <v>220</v>
      </c>
    </row>
    <row r="32" spans="1:3" ht="14.25" customHeight="1" x14ac:dyDescent="0.3">
      <c r="A32" s="127" t="s">
        <v>221</v>
      </c>
      <c r="B32" s="136"/>
      <c r="C32" s="134" t="s">
        <v>222</v>
      </c>
    </row>
    <row r="33" spans="1:3" ht="15.75" customHeight="1" x14ac:dyDescent="0.3">
      <c r="A33" s="127" t="s">
        <v>223</v>
      </c>
      <c r="B33" s="136"/>
      <c r="C33" s="134" t="s">
        <v>224</v>
      </c>
    </row>
    <row r="34" spans="1:3" ht="15.75" customHeight="1" x14ac:dyDescent="0.3">
      <c r="A34" s="127" t="s">
        <v>225</v>
      </c>
      <c r="B34" s="136"/>
      <c r="C34" s="134" t="s">
        <v>226</v>
      </c>
    </row>
    <row r="35" spans="1:3" ht="15.75" customHeight="1" x14ac:dyDescent="0.3">
      <c r="A35" s="127" t="s">
        <v>227</v>
      </c>
      <c r="B35" s="136"/>
      <c r="C35" s="134" t="s">
        <v>228</v>
      </c>
    </row>
    <row r="36" spans="1:3" ht="15.75" customHeight="1" x14ac:dyDescent="0.3">
      <c r="A36" s="127" t="s">
        <v>229</v>
      </c>
      <c r="B36" s="136"/>
      <c r="C36" s="134" t="s">
        <v>230</v>
      </c>
    </row>
    <row r="37" spans="1:3" ht="15.75" customHeight="1" x14ac:dyDescent="0.3">
      <c r="A37" s="127" t="s">
        <v>231</v>
      </c>
      <c r="B37" s="136"/>
      <c r="C37" s="134" t="s">
        <v>232</v>
      </c>
    </row>
    <row r="38" spans="1:3" ht="15.75" customHeight="1" x14ac:dyDescent="0.3">
      <c r="A38" s="127" t="s">
        <v>233</v>
      </c>
      <c r="B38" s="136"/>
      <c r="C38" s="134" t="s">
        <v>234</v>
      </c>
    </row>
    <row r="39" spans="1:3" ht="14.25" customHeight="1" x14ac:dyDescent="0.3">
      <c r="A39" s="127" t="s">
        <v>235</v>
      </c>
      <c r="B39" s="136"/>
      <c r="C39" s="134" t="s">
        <v>236</v>
      </c>
    </row>
    <row r="40" spans="1:3" ht="15.75" customHeight="1" x14ac:dyDescent="0.3">
      <c r="A40" s="127" t="s">
        <v>237</v>
      </c>
      <c r="B40" s="136"/>
      <c r="C40" s="134" t="s">
        <v>238</v>
      </c>
    </row>
    <row r="41" spans="1:3" ht="14.25" customHeight="1" x14ac:dyDescent="0.3">
      <c r="A41" s="127" t="s">
        <v>239</v>
      </c>
      <c r="B41" s="136"/>
      <c r="C41" s="134" t="s">
        <v>240</v>
      </c>
    </row>
    <row r="42" spans="1:3" ht="15.75" customHeight="1" x14ac:dyDescent="0.3">
      <c r="A42" s="127" t="s">
        <v>241</v>
      </c>
      <c r="B42" s="136"/>
      <c r="C42" s="134" t="s">
        <v>242</v>
      </c>
    </row>
    <row r="43" spans="1:3" ht="14.25" customHeight="1" x14ac:dyDescent="0.3">
      <c r="A43" s="127" t="s">
        <v>243</v>
      </c>
      <c r="B43" s="136"/>
      <c r="C43" s="134" t="s">
        <v>244</v>
      </c>
    </row>
    <row r="44" spans="1:3" ht="15.75" customHeight="1" x14ac:dyDescent="0.3">
      <c r="A44" s="127" t="s">
        <v>245</v>
      </c>
      <c r="B44" s="136"/>
      <c r="C44" s="134" t="s">
        <v>246</v>
      </c>
    </row>
    <row r="45" spans="1:3" ht="14.25" customHeight="1" x14ac:dyDescent="0.3">
      <c r="A45" s="127" t="s">
        <v>247</v>
      </c>
      <c r="B45" s="136"/>
      <c r="C45" s="134" t="s">
        <v>248</v>
      </c>
    </row>
    <row r="46" spans="1:3" ht="15.75" customHeight="1" x14ac:dyDescent="0.3">
      <c r="A46" s="127" t="s">
        <v>249</v>
      </c>
      <c r="B46" s="136"/>
      <c r="C46" s="134" t="s">
        <v>250</v>
      </c>
    </row>
    <row r="47" spans="1:3" ht="14.25" customHeight="1" x14ac:dyDescent="0.3">
      <c r="A47" s="127" t="s">
        <v>251</v>
      </c>
      <c r="B47" s="136"/>
      <c r="C47" s="134" t="s">
        <v>252</v>
      </c>
    </row>
    <row r="48" spans="1:3" ht="15.75" customHeight="1" x14ac:dyDescent="0.3">
      <c r="A48" s="127" t="s">
        <v>253</v>
      </c>
      <c r="B48" s="136"/>
      <c r="C48" s="134" t="s">
        <v>254</v>
      </c>
    </row>
    <row r="49" spans="1:3" ht="15.75" customHeight="1" x14ac:dyDescent="0.3">
      <c r="A49" s="127" t="s">
        <v>251</v>
      </c>
      <c r="B49" s="136"/>
      <c r="C49" s="134" t="s">
        <v>255</v>
      </c>
    </row>
    <row r="50" spans="1:3" ht="15.75" customHeight="1" x14ac:dyDescent="0.3">
      <c r="A50" s="127" t="s">
        <v>253</v>
      </c>
      <c r="B50" s="136"/>
      <c r="C50" s="134" t="s">
        <v>256</v>
      </c>
    </row>
    <row r="51" spans="1:3" ht="15.75" customHeight="1" x14ac:dyDescent="0.3">
      <c r="A51" s="127" t="s">
        <v>257</v>
      </c>
      <c r="B51" s="136"/>
      <c r="C51" s="134" t="s">
        <v>258</v>
      </c>
    </row>
    <row r="52" spans="1:3" ht="15.75" customHeight="1" x14ac:dyDescent="0.3">
      <c r="A52" s="127" t="s">
        <v>259</v>
      </c>
      <c r="B52" s="136"/>
      <c r="C52" s="134" t="s">
        <v>260</v>
      </c>
    </row>
    <row r="53" spans="1:3" ht="15.75" customHeight="1" x14ac:dyDescent="0.3">
      <c r="A53" s="127" t="s">
        <v>261</v>
      </c>
      <c r="B53" s="136"/>
      <c r="C53" s="134" t="s">
        <v>262</v>
      </c>
    </row>
    <row r="54" spans="1:3" ht="15.75" customHeight="1" x14ac:dyDescent="0.3">
      <c r="A54" s="127" t="s">
        <v>263</v>
      </c>
      <c r="B54" s="136"/>
      <c r="C54" s="134" t="s">
        <v>264</v>
      </c>
    </row>
    <row r="55" spans="1:3" ht="15.75" customHeight="1" x14ac:dyDescent="0.3">
      <c r="A55" s="127" t="s">
        <v>265</v>
      </c>
      <c r="B55" s="136"/>
      <c r="C55" s="134" t="s">
        <v>266</v>
      </c>
    </row>
    <row r="56" spans="1:3" ht="15.75" customHeight="1" x14ac:dyDescent="0.3">
      <c r="A56" s="127" t="s">
        <v>267</v>
      </c>
      <c r="B56" s="136"/>
      <c r="C56" s="134" t="s">
        <v>268</v>
      </c>
    </row>
    <row r="57" spans="1:3" ht="15.75" customHeight="1" x14ac:dyDescent="0.3">
      <c r="A57" s="127" t="s">
        <v>269</v>
      </c>
      <c r="B57" s="136"/>
      <c r="C57" s="134" t="s">
        <v>270</v>
      </c>
    </row>
    <row r="58" spans="1:3" ht="15.75" customHeight="1" x14ac:dyDescent="0.3">
      <c r="A58" s="127" t="s">
        <v>271</v>
      </c>
      <c r="B58" s="136"/>
      <c r="C58" s="134" t="s">
        <v>272</v>
      </c>
    </row>
    <row r="59" spans="1:3" ht="15.75" customHeight="1" x14ac:dyDescent="0.3">
      <c r="A59" s="127" t="s">
        <v>273</v>
      </c>
      <c r="B59" s="136"/>
      <c r="C59" s="134" t="s">
        <v>270</v>
      </c>
    </row>
    <row r="60" spans="1:3" ht="15.75" customHeight="1" x14ac:dyDescent="0.3">
      <c r="A60" s="127" t="s">
        <v>274</v>
      </c>
      <c r="B60" s="136"/>
      <c r="C60" s="134" t="s">
        <v>272</v>
      </c>
    </row>
    <row r="61" spans="1:3" ht="15.75" customHeight="1" x14ac:dyDescent="0.3">
      <c r="A61" s="127" t="s">
        <v>275</v>
      </c>
      <c r="B61" s="136"/>
      <c r="C61" s="134" t="s">
        <v>276</v>
      </c>
    </row>
    <row r="62" spans="1:3" ht="15.75" customHeight="1" x14ac:dyDescent="0.3">
      <c r="A62" s="127" t="s">
        <v>277</v>
      </c>
      <c r="B62" s="136"/>
      <c r="C62" s="134" t="s">
        <v>278</v>
      </c>
    </row>
    <row r="63" spans="1:3" ht="15.75" customHeight="1" x14ac:dyDescent="0.3">
      <c r="A63" s="127" t="s">
        <v>279</v>
      </c>
      <c r="B63" s="136"/>
      <c r="C63" s="134" t="s">
        <v>280</v>
      </c>
    </row>
    <row r="64" spans="1:3" ht="15.75" customHeight="1" x14ac:dyDescent="0.3">
      <c r="A64" s="127" t="s">
        <v>281</v>
      </c>
      <c r="B64" s="136"/>
      <c r="C64" s="134" t="s">
        <v>282</v>
      </c>
    </row>
    <row r="65" spans="1:3" ht="15.75" customHeight="1" x14ac:dyDescent="0.3">
      <c r="A65" s="127" t="s">
        <v>283</v>
      </c>
      <c r="B65" s="136"/>
      <c r="C65" s="134" t="s">
        <v>284</v>
      </c>
    </row>
    <row r="66" spans="1:3" ht="15.75" customHeight="1" x14ac:dyDescent="0.3">
      <c r="A66" s="127" t="s">
        <v>285</v>
      </c>
      <c r="B66" s="136"/>
      <c r="C66" s="134" t="s">
        <v>286</v>
      </c>
    </row>
    <row r="67" spans="1:3" ht="15.75" customHeight="1" x14ac:dyDescent="0.3">
      <c r="A67" s="127" t="s">
        <v>287</v>
      </c>
      <c r="B67" s="136"/>
      <c r="C67" s="134" t="s">
        <v>288</v>
      </c>
    </row>
    <row r="68" spans="1:3" ht="15.75" customHeight="1" x14ac:dyDescent="0.3">
      <c r="A68" s="127" t="s">
        <v>289</v>
      </c>
      <c r="B68" s="136"/>
      <c r="C68" s="134" t="s">
        <v>290</v>
      </c>
    </row>
    <row r="69" spans="1:3" ht="15.75" customHeight="1" x14ac:dyDescent="0.3">
      <c r="A69" s="127" t="s">
        <v>291</v>
      </c>
      <c r="B69" s="136"/>
      <c r="C69" s="134" t="s">
        <v>292</v>
      </c>
    </row>
    <row r="70" spans="1:3" ht="15.75" customHeight="1" x14ac:dyDescent="0.3">
      <c r="A70" s="127" t="s">
        <v>293</v>
      </c>
      <c r="B70" s="136"/>
      <c r="C70" s="134" t="s">
        <v>294</v>
      </c>
    </row>
    <row r="71" spans="1:3" ht="15.75" customHeight="1" x14ac:dyDescent="0.3">
      <c r="A71" s="127" t="s">
        <v>295</v>
      </c>
      <c r="B71" s="136"/>
      <c r="C71" s="134" t="s">
        <v>296</v>
      </c>
    </row>
    <row r="72" spans="1:3" ht="15.75" customHeight="1" x14ac:dyDescent="0.3">
      <c r="A72" s="127" t="s">
        <v>297</v>
      </c>
      <c r="B72" s="136"/>
      <c r="C72" s="134" t="s">
        <v>298</v>
      </c>
    </row>
    <row r="73" spans="1:3" ht="15.75" customHeight="1" x14ac:dyDescent="0.3">
      <c r="A73" s="127" t="s">
        <v>299</v>
      </c>
      <c r="B73" s="136"/>
      <c r="C73" s="134" t="s">
        <v>300</v>
      </c>
    </row>
    <row r="74" spans="1:3" ht="15.75" customHeight="1" x14ac:dyDescent="0.3">
      <c r="A74" s="127" t="s">
        <v>301</v>
      </c>
      <c r="B74" s="136"/>
      <c r="C74" s="134" t="s">
        <v>302</v>
      </c>
    </row>
    <row r="75" spans="1:3" ht="15.75" customHeight="1" x14ac:dyDescent="0.3">
      <c r="A75" s="127" t="s">
        <v>303</v>
      </c>
      <c r="B75" s="136"/>
      <c r="C75" s="134" t="s">
        <v>304</v>
      </c>
    </row>
    <row r="76" spans="1:3" ht="15.75" customHeight="1" x14ac:dyDescent="0.3">
      <c r="A76" s="132" t="s">
        <v>305</v>
      </c>
      <c r="B76" s="137"/>
      <c r="C76" s="134" t="s">
        <v>306</v>
      </c>
    </row>
    <row r="77" spans="1:3" ht="14.25" customHeight="1" x14ac:dyDescent="0.3">
      <c r="A77" s="384" t="s">
        <v>307</v>
      </c>
      <c r="B77" s="385"/>
      <c r="C77" s="386"/>
    </row>
    <row r="78" spans="1:3" ht="15.75" customHeight="1" x14ac:dyDescent="0.3">
      <c r="A78" s="138" t="s">
        <v>308</v>
      </c>
      <c r="B78" s="125"/>
      <c r="C78" s="139" t="s">
        <v>309</v>
      </c>
    </row>
    <row r="79" spans="1:3" ht="15.75" customHeight="1" x14ac:dyDescent="0.3">
      <c r="A79" s="140" t="s">
        <v>310</v>
      </c>
      <c r="B79" s="128"/>
      <c r="C79" s="141" t="s">
        <v>311</v>
      </c>
    </row>
    <row r="80" spans="1:3" ht="15.75" customHeight="1" x14ac:dyDescent="0.3">
      <c r="A80" s="140" t="s">
        <v>312</v>
      </c>
      <c r="B80" s="128"/>
      <c r="C80" s="141" t="s">
        <v>313</v>
      </c>
    </row>
    <row r="81" spans="1:3" ht="15.75" customHeight="1" x14ac:dyDescent="0.3">
      <c r="A81" s="140" t="s">
        <v>314</v>
      </c>
      <c r="B81" s="128"/>
      <c r="C81" s="141" t="s">
        <v>315</v>
      </c>
    </row>
    <row r="82" spans="1:3" ht="15.75" customHeight="1" x14ac:dyDescent="0.3">
      <c r="A82" s="140" t="s">
        <v>316</v>
      </c>
      <c r="B82" s="128"/>
      <c r="C82" s="141" t="s">
        <v>317</v>
      </c>
    </row>
    <row r="83" spans="1:3" ht="14.25" customHeight="1" x14ac:dyDescent="0.3">
      <c r="A83" s="142" t="s">
        <v>318</v>
      </c>
      <c r="B83" s="133"/>
      <c r="C83" s="143" t="s">
        <v>319</v>
      </c>
    </row>
    <row r="84" spans="1:3" ht="14.25" customHeight="1" x14ac:dyDescent="0.3"/>
    <row r="85" spans="1:3" ht="14.25" customHeight="1" x14ac:dyDescent="0.3"/>
    <row r="86" spans="1:3" ht="14.25" customHeight="1" x14ac:dyDescent="0.3"/>
    <row r="87" spans="1:3" ht="14.25" customHeight="1" x14ac:dyDescent="0.3"/>
    <row r="88" spans="1:3" ht="14.25" customHeight="1" x14ac:dyDescent="0.3"/>
    <row r="89" spans="1:3" ht="14.25" customHeight="1" x14ac:dyDescent="0.3"/>
    <row r="90" spans="1:3" ht="14.25" customHeight="1" x14ac:dyDescent="0.3"/>
    <row r="91" spans="1:3" ht="14.25" customHeight="1" x14ac:dyDescent="0.3"/>
    <row r="92" spans="1:3" ht="14.25" customHeight="1" x14ac:dyDescent="0.3"/>
    <row r="93" spans="1:3" ht="14.25" customHeight="1" x14ac:dyDescent="0.3"/>
    <row r="94" spans="1:3" ht="14.25" customHeight="1" x14ac:dyDescent="0.3"/>
    <row r="95" spans="1:3" ht="14.25" customHeight="1" x14ac:dyDescent="0.3"/>
    <row r="96" spans="1:3"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3">
    <mergeCell ref="A2:C2"/>
    <mergeCell ref="A30:C30"/>
    <mergeCell ref="A77:C77"/>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9"/>
  <dimension ref="A1:B1000"/>
  <sheetViews>
    <sheetView workbookViewId="0"/>
  </sheetViews>
  <sheetFormatPr baseColWidth="10" defaultColWidth="14.44140625" defaultRowHeight="15" customHeight="1" x14ac:dyDescent="0.3"/>
  <cols>
    <col min="1" max="1" width="27.5546875" customWidth="1"/>
    <col min="2" max="2" width="122.33203125" customWidth="1"/>
    <col min="3" max="6" width="10.6640625" customWidth="1"/>
  </cols>
  <sheetData>
    <row r="1" spans="1:2" ht="14.25" customHeight="1" x14ac:dyDescent="0.3">
      <c r="A1" s="144" t="s">
        <v>320</v>
      </c>
      <c r="B1" s="144" t="s">
        <v>321</v>
      </c>
    </row>
    <row r="2" spans="1:2" ht="14.25" customHeight="1" x14ac:dyDescent="0.3">
      <c r="A2" s="25" t="s">
        <v>322</v>
      </c>
      <c r="B2" s="25">
        <f>Interfaz!B67</f>
        <v>0</v>
      </c>
    </row>
    <row r="3" spans="1:2" ht="14.25" customHeight="1" x14ac:dyDescent="0.3"/>
    <row r="4" spans="1:2" ht="14.25" customHeight="1" x14ac:dyDescent="0.3"/>
    <row r="5" spans="1:2" ht="14.25" customHeight="1" x14ac:dyDescent="0.3"/>
    <row r="6" spans="1:2" ht="14.25" customHeight="1" x14ac:dyDescent="0.3"/>
    <row r="7" spans="1:2" ht="14.25" customHeight="1" x14ac:dyDescent="0.3"/>
    <row r="8" spans="1:2" ht="14.25" customHeight="1" x14ac:dyDescent="0.3">
      <c r="B8" s="118"/>
    </row>
    <row r="9" spans="1:2" ht="14.25" customHeight="1" x14ac:dyDescent="0.3"/>
    <row r="10" spans="1:2" ht="14.25" customHeight="1" x14ac:dyDescent="0.3"/>
    <row r="11" spans="1:2" ht="14.25" customHeight="1" x14ac:dyDescent="0.3"/>
    <row r="12" spans="1:2" ht="14.25" customHeight="1" x14ac:dyDescent="0.3"/>
    <row r="13" spans="1:2" ht="14.25" customHeight="1" x14ac:dyDescent="0.3"/>
    <row r="14" spans="1:2" ht="14.25" customHeight="1" x14ac:dyDescent="0.3"/>
    <row r="15" spans="1:2" ht="14.25" customHeight="1" x14ac:dyDescent="0.3"/>
    <row r="16" spans="1:2"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0"/>
  <dimension ref="A1:B1000"/>
  <sheetViews>
    <sheetView workbookViewId="0"/>
  </sheetViews>
  <sheetFormatPr baseColWidth="10" defaultColWidth="14.44140625" defaultRowHeight="15" customHeight="1" x14ac:dyDescent="0.3"/>
  <cols>
    <col min="1" max="1" width="14.33203125" customWidth="1"/>
    <col min="2" max="2" width="78.6640625" customWidth="1"/>
    <col min="3" max="6" width="10.6640625" customWidth="1"/>
  </cols>
  <sheetData>
    <row r="1" spans="1:2" ht="97.5" customHeight="1" x14ac:dyDescent="0.3">
      <c r="A1" s="25" t="s">
        <v>323</v>
      </c>
      <c r="B1" s="145" t="s">
        <v>324</v>
      </c>
    </row>
    <row r="2" spans="1:2" ht="14.25" customHeight="1" x14ac:dyDescent="0.3">
      <c r="A2" s="25" t="s">
        <v>325</v>
      </c>
      <c r="B2" s="146" t="s">
        <v>326</v>
      </c>
    </row>
    <row r="3" spans="1:2" ht="14.25" customHeight="1" x14ac:dyDescent="0.3">
      <c r="A3" s="25" t="s">
        <v>327</v>
      </c>
      <c r="B3" s="146" t="s">
        <v>328</v>
      </c>
    </row>
    <row r="4" spans="1:2" ht="14.25" customHeight="1" x14ac:dyDescent="0.3">
      <c r="A4" s="25" t="s">
        <v>329</v>
      </c>
      <c r="B4" s="146" t="s">
        <v>330</v>
      </c>
    </row>
    <row r="5" spans="1:2" ht="14.25" customHeight="1" x14ac:dyDescent="0.3">
      <c r="A5" s="25" t="s">
        <v>331</v>
      </c>
      <c r="B5" s="147" t="s">
        <v>332</v>
      </c>
    </row>
    <row r="6" spans="1:2" ht="14.25" customHeight="1" x14ac:dyDescent="0.3">
      <c r="A6" s="25" t="s">
        <v>333</v>
      </c>
      <c r="B6" s="147" t="s">
        <v>334</v>
      </c>
    </row>
    <row r="7" spans="1:2" ht="14.25" customHeight="1" x14ac:dyDescent="0.3">
      <c r="A7" s="25" t="s">
        <v>335</v>
      </c>
      <c r="B7" s="146" t="s">
        <v>336</v>
      </c>
    </row>
    <row r="8" spans="1:2" ht="14.25" customHeight="1" x14ac:dyDescent="0.3">
      <c r="A8" s="25" t="s">
        <v>337</v>
      </c>
      <c r="B8" s="145" t="s">
        <v>338</v>
      </c>
    </row>
    <row r="9" spans="1:2" ht="14.25" customHeight="1" x14ac:dyDescent="0.3">
      <c r="A9" s="25" t="s">
        <v>339</v>
      </c>
      <c r="B9" s="145" t="s">
        <v>340</v>
      </c>
    </row>
    <row r="10" spans="1:2" ht="14.25" customHeight="1" x14ac:dyDescent="0.3">
      <c r="A10" s="25" t="s">
        <v>341</v>
      </c>
      <c r="B10" s="145" t="s">
        <v>342</v>
      </c>
    </row>
    <row r="11" spans="1:2" ht="14.25" customHeight="1" x14ac:dyDescent="0.3">
      <c r="A11" s="25" t="s">
        <v>343</v>
      </c>
      <c r="B11" s="145" t="s">
        <v>344</v>
      </c>
    </row>
    <row r="12" spans="1:2" ht="14.25" customHeight="1" x14ac:dyDescent="0.3">
      <c r="A12" s="25" t="s">
        <v>345</v>
      </c>
      <c r="B12" s="146" t="s">
        <v>346</v>
      </c>
    </row>
    <row r="13" spans="1:2" ht="14.25" customHeight="1" x14ac:dyDescent="0.3">
      <c r="A13" s="25" t="s">
        <v>347</v>
      </c>
      <c r="B13" s="145" t="s">
        <v>348</v>
      </c>
    </row>
    <row r="14" spans="1:2" ht="14.25" customHeight="1" x14ac:dyDescent="0.3">
      <c r="A14" s="25" t="s">
        <v>349</v>
      </c>
      <c r="B14" s="145" t="s">
        <v>350</v>
      </c>
    </row>
    <row r="15" spans="1:2" ht="14.25" customHeight="1" x14ac:dyDescent="0.3">
      <c r="A15" s="25" t="s">
        <v>351</v>
      </c>
      <c r="B15" s="145" t="s">
        <v>352</v>
      </c>
    </row>
    <row r="16" spans="1:2" ht="14.25" customHeight="1" x14ac:dyDescent="0.3">
      <c r="A16" s="25" t="s">
        <v>353</v>
      </c>
      <c r="B16" s="148" t="s">
        <v>354</v>
      </c>
    </row>
    <row r="17" spans="1:2" ht="14.25" customHeight="1" x14ac:dyDescent="0.3">
      <c r="A17" s="25" t="s">
        <v>355</v>
      </c>
      <c r="B17" s="145" t="s">
        <v>356</v>
      </c>
    </row>
    <row r="18" spans="1:2" ht="14.25" customHeight="1" x14ac:dyDescent="0.3">
      <c r="A18" s="25" t="s">
        <v>13</v>
      </c>
    </row>
    <row r="19" spans="1:2" ht="14.25" customHeight="1" x14ac:dyDescent="0.3"/>
    <row r="20" spans="1:2" ht="14.25" customHeight="1" x14ac:dyDescent="0.3"/>
    <row r="21" spans="1:2" ht="14.25" customHeight="1" x14ac:dyDescent="0.3"/>
    <row r="22" spans="1:2" ht="14.25" customHeight="1" x14ac:dyDescent="0.3"/>
    <row r="23" spans="1:2" ht="14.25" customHeight="1" x14ac:dyDescent="0.3"/>
    <row r="24" spans="1:2" ht="14.25" customHeight="1" x14ac:dyDescent="0.3"/>
    <row r="25" spans="1:2" ht="14.25" customHeight="1" x14ac:dyDescent="0.3"/>
    <row r="26" spans="1:2" ht="14.25" customHeight="1" x14ac:dyDescent="0.3"/>
    <row r="27" spans="1:2" ht="14.25" customHeight="1" x14ac:dyDescent="0.3"/>
    <row r="28" spans="1:2" ht="14.25" customHeight="1" x14ac:dyDescent="0.3"/>
    <row r="29" spans="1:2" ht="14.25" customHeight="1" x14ac:dyDescent="0.3"/>
    <row r="30" spans="1:2" ht="14.25" customHeight="1" x14ac:dyDescent="0.3"/>
    <row r="31" spans="1:2" ht="14.25" customHeight="1" x14ac:dyDescent="0.3"/>
    <row r="32" spans="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dimension ref="A1:O1000"/>
  <sheetViews>
    <sheetView workbookViewId="0"/>
  </sheetViews>
  <sheetFormatPr baseColWidth="10" defaultColWidth="14.44140625" defaultRowHeight="15" customHeight="1" x14ac:dyDescent="0.3"/>
  <cols>
    <col min="1" max="5" width="10.6640625" customWidth="1"/>
    <col min="6" max="6" width="15.88671875" customWidth="1"/>
    <col min="7" max="14" width="10.6640625" customWidth="1"/>
    <col min="15" max="15" width="17.33203125" customWidth="1"/>
  </cols>
  <sheetData>
    <row r="1" spans="1:15" ht="14.25" customHeight="1" x14ac:dyDescent="0.3">
      <c r="A1" s="387" t="s">
        <v>357</v>
      </c>
      <c r="B1" s="371"/>
      <c r="C1" s="371"/>
      <c r="D1" s="371"/>
      <c r="E1" s="371"/>
      <c r="F1" s="388"/>
      <c r="J1" s="387" t="s">
        <v>358</v>
      </c>
      <c r="K1" s="371"/>
      <c r="L1" s="371"/>
      <c r="M1" s="371"/>
      <c r="N1" s="371"/>
      <c r="O1" s="388"/>
    </row>
    <row r="2" spans="1:15" ht="14.25" customHeight="1" x14ac:dyDescent="0.3">
      <c r="A2" s="149" t="s">
        <v>359</v>
      </c>
      <c r="F2" s="150"/>
      <c r="J2" s="149" t="s">
        <v>360</v>
      </c>
      <c r="O2" s="150"/>
    </row>
    <row r="3" spans="1:15" ht="14.25" customHeight="1" x14ac:dyDescent="0.3">
      <c r="A3" s="149" t="s">
        <v>361</v>
      </c>
      <c r="F3" s="150"/>
      <c r="J3" s="149" t="s">
        <v>362</v>
      </c>
      <c r="O3" s="150"/>
    </row>
    <row r="4" spans="1:15" ht="14.25" customHeight="1" x14ac:dyDescent="0.3">
      <c r="A4" s="149" t="s">
        <v>363</v>
      </c>
      <c r="F4" s="150"/>
      <c r="J4" s="149" t="s">
        <v>364</v>
      </c>
      <c r="O4" s="150"/>
    </row>
    <row r="5" spans="1:15" ht="14.25" customHeight="1" x14ac:dyDescent="0.3">
      <c r="A5" s="149" t="s">
        <v>365</v>
      </c>
      <c r="F5" s="150"/>
      <c r="J5" s="149" t="s">
        <v>366</v>
      </c>
      <c r="O5" s="150"/>
    </row>
    <row r="6" spans="1:15" ht="14.25" customHeight="1" x14ac:dyDescent="0.3">
      <c r="A6" s="149" t="s">
        <v>367</v>
      </c>
      <c r="F6" s="150"/>
      <c r="J6" s="149" t="s">
        <v>368</v>
      </c>
      <c r="O6" s="150"/>
    </row>
    <row r="7" spans="1:15" ht="14.25" customHeight="1" x14ac:dyDescent="0.3">
      <c r="A7" s="149" t="s">
        <v>369</v>
      </c>
      <c r="F7" s="150"/>
      <c r="J7" s="149" t="s">
        <v>370</v>
      </c>
      <c r="O7" s="150"/>
    </row>
    <row r="8" spans="1:15" ht="14.25" customHeight="1" x14ac:dyDescent="0.3">
      <c r="A8" s="149" t="s">
        <v>371</v>
      </c>
      <c r="F8" s="150"/>
      <c r="J8" s="149" t="s">
        <v>372</v>
      </c>
      <c r="O8" s="150"/>
    </row>
    <row r="9" spans="1:15" ht="14.25" customHeight="1" x14ac:dyDescent="0.3">
      <c r="A9" s="149" t="s">
        <v>373</v>
      </c>
      <c r="F9" s="150"/>
      <c r="J9" s="149" t="s">
        <v>374</v>
      </c>
      <c r="O9" s="150"/>
    </row>
    <row r="10" spans="1:15" ht="14.25" customHeight="1" x14ac:dyDescent="0.3">
      <c r="A10" s="149" t="s">
        <v>375</v>
      </c>
      <c r="F10" s="150"/>
      <c r="J10" s="149" t="s">
        <v>372</v>
      </c>
      <c r="O10" s="150"/>
    </row>
    <row r="11" spans="1:15" ht="14.25" customHeight="1" x14ac:dyDescent="0.3">
      <c r="A11" s="149" t="s">
        <v>376</v>
      </c>
      <c r="F11" s="150"/>
      <c r="J11" s="149" t="s">
        <v>377</v>
      </c>
      <c r="O11" s="150"/>
    </row>
    <row r="12" spans="1:15" ht="14.25" customHeight="1" x14ac:dyDescent="0.3">
      <c r="A12" s="149" t="s">
        <v>378</v>
      </c>
      <c r="F12" s="150"/>
      <c r="J12" s="149" t="s">
        <v>379</v>
      </c>
      <c r="O12" s="150"/>
    </row>
    <row r="13" spans="1:15" ht="14.25" customHeight="1" x14ac:dyDescent="0.3">
      <c r="A13" s="149" t="s">
        <v>380</v>
      </c>
      <c r="F13" s="150"/>
      <c r="J13" s="149" t="s">
        <v>381</v>
      </c>
      <c r="O13" s="150"/>
    </row>
    <row r="14" spans="1:15" ht="14.25" customHeight="1" x14ac:dyDescent="0.3">
      <c r="A14" s="149" t="s">
        <v>382</v>
      </c>
      <c r="F14" s="150"/>
      <c r="J14" s="149" t="s">
        <v>383</v>
      </c>
      <c r="O14" s="150"/>
    </row>
    <row r="15" spans="1:15" ht="14.25" customHeight="1" x14ac:dyDescent="0.3">
      <c r="A15" s="149" t="s">
        <v>384</v>
      </c>
      <c r="F15" s="150"/>
      <c r="J15" s="149" t="s">
        <v>385</v>
      </c>
      <c r="O15" s="150"/>
    </row>
    <row r="16" spans="1:15" ht="14.25" customHeight="1" x14ac:dyDescent="0.3">
      <c r="A16" s="149" t="s">
        <v>386</v>
      </c>
      <c r="F16" s="150"/>
      <c r="J16" s="149" t="s">
        <v>387</v>
      </c>
      <c r="O16" s="150"/>
    </row>
    <row r="17" spans="1:15" ht="14.25" customHeight="1" x14ac:dyDescent="0.3">
      <c r="A17" s="149" t="s">
        <v>388</v>
      </c>
      <c r="F17" s="150"/>
      <c r="J17" s="149" t="s">
        <v>389</v>
      </c>
      <c r="O17" s="150"/>
    </row>
    <row r="18" spans="1:15" ht="14.25" customHeight="1" x14ac:dyDescent="0.3">
      <c r="A18" s="149" t="s">
        <v>390</v>
      </c>
      <c r="F18" s="150"/>
      <c r="J18" s="149" t="s">
        <v>391</v>
      </c>
      <c r="O18" s="150"/>
    </row>
    <row r="19" spans="1:15" ht="14.25" customHeight="1" x14ac:dyDescent="0.3">
      <c r="A19" s="149" t="s">
        <v>392</v>
      </c>
      <c r="F19" s="150"/>
      <c r="J19" s="149" t="s">
        <v>393</v>
      </c>
      <c r="O19" s="150"/>
    </row>
    <row r="20" spans="1:15" ht="14.25" customHeight="1" x14ac:dyDescent="0.3">
      <c r="A20" s="149" t="s">
        <v>394</v>
      </c>
      <c r="F20" s="150"/>
      <c r="J20" s="149" t="s">
        <v>395</v>
      </c>
      <c r="O20" s="150"/>
    </row>
    <row r="21" spans="1:15" ht="14.25" customHeight="1" x14ac:dyDescent="0.3">
      <c r="A21" s="149" t="s">
        <v>396</v>
      </c>
      <c r="F21" s="150"/>
      <c r="J21" s="149" t="s">
        <v>397</v>
      </c>
      <c r="O21" s="150"/>
    </row>
    <row r="22" spans="1:15" ht="14.25" customHeight="1" x14ac:dyDescent="0.3">
      <c r="A22" s="149" t="s">
        <v>398</v>
      </c>
      <c r="F22" s="150"/>
      <c r="J22" s="151" t="s">
        <v>399</v>
      </c>
      <c r="K22" s="152"/>
      <c r="L22" s="152"/>
      <c r="M22" s="152"/>
      <c r="N22" s="152"/>
      <c r="O22" s="153"/>
    </row>
    <row r="23" spans="1:15" ht="14.25" customHeight="1" x14ac:dyDescent="0.3">
      <c r="A23" s="149" t="s">
        <v>400</v>
      </c>
      <c r="F23" s="150"/>
    </row>
    <row r="24" spans="1:15" ht="14.25" customHeight="1" x14ac:dyDescent="0.3">
      <c r="A24" s="149" t="s">
        <v>401</v>
      </c>
      <c r="F24" s="150"/>
    </row>
    <row r="25" spans="1:15" ht="14.25" customHeight="1" x14ac:dyDescent="0.3">
      <c r="A25" s="149" t="s">
        <v>402</v>
      </c>
      <c r="F25" s="150"/>
    </row>
    <row r="26" spans="1:15" ht="14.25" customHeight="1" x14ac:dyDescent="0.3">
      <c r="A26" s="149" t="s">
        <v>403</v>
      </c>
      <c r="F26" s="150"/>
    </row>
    <row r="27" spans="1:15" ht="14.25" customHeight="1" x14ac:dyDescent="0.3">
      <c r="A27" s="149" t="s">
        <v>404</v>
      </c>
      <c r="F27" s="150"/>
    </row>
    <row r="28" spans="1:15" ht="14.25" customHeight="1" x14ac:dyDescent="0.3">
      <c r="A28" s="149" t="s">
        <v>405</v>
      </c>
      <c r="F28" s="150"/>
    </row>
    <row r="29" spans="1:15" ht="14.25" customHeight="1" x14ac:dyDescent="0.3">
      <c r="A29" s="149" t="s">
        <v>406</v>
      </c>
      <c r="F29" s="150"/>
    </row>
    <row r="30" spans="1:15" ht="14.25" customHeight="1" x14ac:dyDescent="0.3">
      <c r="A30" s="149" t="s">
        <v>407</v>
      </c>
      <c r="F30" s="150"/>
    </row>
    <row r="31" spans="1:15" ht="14.25" customHeight="1" x14ac:dyDescent="0.3">
      <c r="A31" s="149" t="s">
        <v>408</v>
      </c>
      <c r="F31" s="150"/>
    </row>
    <row r="32" spans="1:15" ht="14.25" customHeight="1" x14ac:dyDescent="0.3">
      <c r="A32" s="149" t="s">
        <v>409</v>
      </c>
      <c r="F32" s="150"/>
    </row>
    <row r="33" spans="1:6" ht="14.25" customHeight="1" x14ac:dyDescent="0.3">
      <c r="A33" s="149" t="s">
        <v>410</v>
      </c>
      <c r="F33" s="150"/>
    </row>
    <row r="34" spans="1:6" ht="14.25" customHeight="1" x14ac:dyDescent="0.3">
      <c r="A34" s="149" t="s">
        <v>411</v>
      </c>
      <c r="F34" s="150"/>
    </row>
    <row r="35" spans="1:6" ht="14.25" customHeight="1" x14ac:dyDescent="0.3">
      <c r="A35" s="149" t="s">
        <v>412</v>
      </c>
      <c r="F35" s="150"/>
    </row>
    <row r="36" spans="1:6" ht="14.25" customHeight="1" x14ac:dyDescent="0.3">
      <c r="A36" s="149" t="s">
        <v>413</v>
      </c>
      <c r="F36" s="150"/>
    </row>
    <row r="37" spans="1:6" ht="14.25" customHeight="1" x14ac:dyDescent="0.3">
      <c r="A37" s="149" t="s">
        <v>414</v>
      </c>
      <c r="F37" s="150"/>
    </row>
    <row r="38" spans="1:6" ht="14.25" customHeight="1" x14ac:dyDescent="0.3">
      <c r="A38" s="149" t="s">
        <v>415</v>
      </c>
      <c r="F38" s="150"/>
    </row>
    <row r="39" spans="1:6" ht="14.25" customHeight="1" x14ac:dyDescent="0.3">
      <c r="A39" s="149" t="s">
        <v>416</v>
      </c>
      <c r="F39" s="150"/>
    </row>
    <row r="40" spans="1:6" ht="14.25" customHeight="1" x14ac:dyDescent="0.3">
      <c r="A40" s="149" t="s">
        <v>417</v>
      </c>
      <c r="F40" s="150"/>
    </row>
    <row r="41" spans="1:6" ht="14.25" customHeight="1" x14ac:dyDescent="0.3">
      <c r="A41" s="149" t="s">
        <v>418</v>
      </c>
      <c r="F41" s="150"/>
    </row>
    <row r="42" spans="1:6" ht="14.25" customHeight="1" x14ac:dyDescent="0.3">
      <c r="A42" s="149" t="s">
        <v>419</v>
      </c>
      <c r="F42" s="150"/>
    </row>
    <row r="43" spans="1:6" ht="14.25" customHeight="1" x14ac:dyDescent="0.3">
      <c r="A43" s="149" t="s">
        <v>420</v>
      </c>
      <c r="F43" s="150"/>
    </row>
    <row r="44" spans="1:6" ht="14.25" customHeight="1" x14ac:dyDescent="0.3">
      <c r="A44" s="149" t="s">
        <v>421</v>
      </c>
      <c r="F44" s="150"/>
    </row>
    <row r="45" spans="1:6" ht="14.25" customHeight="1" x14ac:dyDescent="0.3">
      <c r="A45" s="149" t="s">
        <v>422</v>
      </c>
      <c r="F45" s="150"/>
    </row>
    <row r="46" spans="1:6" ht="14.25" customHeight="1" x14ac:dyDescent="0.3">
      <c r="A46" s="149" t="s">
        <v>423</v>
      </c>
      <c r="F46" s="150"/>
    </row>
    <row r="47" spans="1:6" ht="14.25" customHeight="1" x14ac:dyDescent="0.3">
      <c r="A47" s="151" t="s">
        <v>424</v>
      </c>
      <c r="B47" s="152"/>
      <c r="C47" s="152"/>
      <c r="D47" s="152"/>
      <c r="E47" s="152"/>
      <c r="F47" s="153"/>
    </row>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J1:O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dimension ref="A1:G1000"/>
  <sheetViews>
    <sheetView workbookViewId="0"/>
  </sheetViews>
  <sheetFormatPr baseColWidth="10" defaultColWidth="14.44140625" defaultRowHeight="15" customHeight="1" x14ac:dyDescent="0.3"/>
  <cols>
    <col min="1" max="1" width="14.109375" customWidth="1"/>
    <col min="2" max="2" width="23.6640625" customWidth="1"/>
    <col min="3" max="3" width="12.6640625" customWidth="1"/>
    <col min="4" max="4" width="13.33203125" customWidth="1"/>
    <col min="5" max="5" width="10.6640625" customWidth="1"/>
    <col min="6" max="6" width="23.109375" customWidth="1"/>
    <col min="7" max="7" width="10.6640625" customWidth="1"/>
  </cols>
  <sheetData>
    <row r="1" spans="1:7" ht="14.25" customHeight="1" x14ac:dyDescent="0.3">
      <c r="A1" s="3" t="s">
        <v>425</v>
      </c>
      <c r="B1" s="3" t="s">
        <v>426</v>
      </c>
      <c r="C1" s="3" t="s">
        <v>3</v>
      </c>
      <c r="D1" s="3" t="s">
        <v>427</v>
      </c>
      <c r="E1" s="3" t="s">
        <v>428</v>
      </c>
      <c r="F1" s="3" t="s">
        <v>429</v>
      </c>
      <c r="G1" s="3" t="s">
        <v>430</v>
      </c>
    </row>
    <row r="2" spans="1:7" ht="14.25" customHeight="1" x14ac:dyDescent="0.3">
      <c r="A2" s="25" t="s">
        <v>972</v>
      </c>
      <c r="B2" s="25" t="s">
        <v>973</v>
      </c>
      <c r="C2" s="25" t="s">
        <v>138</v>
      </c>
      <c r="D2" s="25" t="s">
        <v>482</v>
      </c>
      <c r="E2" s="25">
        <v>250</v>
      </c>
      <c r="F2" s="25">
        <v>12000</v>
      </c>
      <c r="G2" s="25" t="s">
        <v>141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dimension ref="A1:F1000"/>
  <sheetViews>
    <sheetView workbookViewId="0"/>
  </sheetViews>
  <sheetFormatPr baseColWidth="10" defaultColWidth="14.44140625" defaultRowHeight="15" customHeight="1" x14ac:dyDescent="0.3"/>
  <cols>
    <col min="1" max="1" width="14.109375" customWidth="1"/>
    <col min="2" max="2" width="16.109375" customWidth="1"/>
    <col min="3" max="3" width="9.33203125" customWidth="1"/>
    <col min="4" max="4" width="24" customWidth="1"/>
    <col min="5" max="5" width="15.44140625" customWidth="1"/>
    <col min="6" max="6" width="10.6640625" customWidth="1"/>
  </cols>
  <sheetData>
    <row r="1" spans="1:6" ht="14.25" customHeight="1" x14ac:dyDescent="0.3">
      <c r="A1" s="3" t="s">
        <v>425</v>
      </c>
      <c r="B1" s="3" t="s">
        <v>426</v>
      </c>
      <c r="C1" s="3" t="s">
        <v>428</v>
      </c>
      <c r="D1" s="3" t="s">
        <v>432</v>
      </c>
      <c r="E1" s="3" t="s">
        <v>433</v>
      </c>
      <c r="F1" s="3" t="s">
        <v>434</v>
      </c>
    </row>
    <row r="2" spans="1:6" ht="14.25" customHeight="1" x14ac:dyDescent="0.3">
      <c r="A2" s="25" t="s">
        <v>972</v>
      </c>
      <c r="B2" s="25" t="s">
        <v>973</v>
      </c>
      <c r="C2" s="25">
        <v>250</v>
      </c>
      <c r="D2" s="25" t="s">
        <v>145</v>
      </c>
      <c r="E2" s="25" t="s">
        <v>146</v>
      </c>
      <c r="F2" s="25" t="s">
        <v>147</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12.6640625" customWidth="1"/>
    <col min="4" max="4" width="13.33203125" customWidth="1"/>
    <col min="5" max="5" width="10.6640625" customWidth="1"/>
    <col min="6" max="6" width="22.88671875" customWidth="1"/>
  </cols>
  <sheetData>
    <row r="1" spans="1:6" ht="14.25" customHeight="1" x14ac:dyDescent="0.3">
      <c r="A1" s="3" t="s">
        <v>425</v>
      </c>
      <c r="B1" s="3" t="s">
        <v>426</v>
      </c>
      <c r="C1" s="3" t="s">
        <v>3</v>
      </c>
      <c r="D1" s="3" t="s">
        <v>427</v>
      </c>
      <c r="E1" s="3" t="s">
        <v>428</v>
      </c>
      <c r="F1" s="3" t="s">
        <v>435</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dimension ref="A1:F1000"/>
  <sheetViews>
    <sheetView workbookViewId="0"/>
  </sheetViews>
  <sheetFormatPr baseColWidth="10" defaultColWidth="14.44140625" defaultRowHeight="15" customHeight="1" x14ac:dyDescent="0.3"/>
  <cols>
    <col min="1" max="1" width="14.109375" customWidth="1"/>
    <col min="2" max="2" width="15.33203125" customWidth="1"/>
    <col min="3" max="3" width="12.6640625" customWidth="1"/>
    <col min="4" max="4" width="13.33203125" customWidth="1"/>
    <col min="5" max="5" width="10.6640625" customWidth="1"/>
    <col min="6" max="6" width="17.33203125" customWidth="1"/>
  </cols>
  <sheetData>
    <row r="1" spans="1:6" ht="14.25" customHeight="1" x14ac:dyDescent="0.3">
      <c r="A1" s="3" t="s">
        <v>425</v>
      </c>
      <c r="B1" s="3" t="s">
        <v>426</v>
      </c>
      <c r="C1" s="3" t="s">
        <v>3</v>
      </c>
      <c r="D1" s="3" t="s">
        <v>427</v>
      </c>
      <c r="E1" s="3" t="s">
        <v>428</v>
      </c>
      <c r="F1" s="3" t="s">
        <v>436</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dimension ref="A1:E1000"/>
  <sheetViews>
    <sheetView workbookViewId="0"/>
  </sheetViews>
  <sheetFormatPr baseColWidth="10" defaultColWidth="14.44140625" defaultRowHeight="15" customHeight="1" x14ac:dyDescent="0.3"/>
  <cols>
    <col min="1" max="1" width="14.109375" customWidth="1"/>
    <col min="2" max="2" width="13.44140625" customWidth="1"/>
    <col min="3" max="6" width="10.6640625" customWidth="1"/>
  </cols>
  <sheetData>
    <row r="1" spans="1:5" ht="14.25" customHeight="1" x14ac:dyDescent="0.3">
      <c r="A1" s="3" t="s">
        <v>425</v>
      </c>
      <c r="B1" s="3" t="s">
        <v>426</v>
      </c>
      <c r="C1" s="3" t="s">
        <v>428</v>
      </c>
      <c r="D1" s="3" t="s">
        <v>437</v>
      </c>
      <c r="E1" s="3" t="s">
        <v>69</v>
      </c>
    </row>
    <row r="2" spans="1:5" ht="14.25" customHeight="1" x14ac:dyDescent="0.3">
      <c r="A2" s="25" t="s">
        <v>972</v>
      </c>
      <c r="B2" s="25" t="s">
        <v>973</v>
      </c>
      <c r="C2" s="25">
        <v>250</v>
      </c>
      <c r="D2" s="25">
        <v>10</v>
      </c>
      <c r="E2" s="25">
        <v>11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dimension ref="A1:F1000"/>
  <sheetViews>
    <sheetView workbookViewId="0"/>
  </sheetViews>
  <sheetFormatPr baseColWidth="10" defaultColWidth="14.44140625" defaultRowHeight="15" customHeight="1" x14ac:dyDescent="0.3"/>
  <cols>
    <col min="1" max="1" width="14.109375" customWidth="1"/>
    <col min="2" max="3" width="17.109375" customWidth="1"/>
    <col min="4" max="4" width="10.6640625" customWidth="1"/>
    <col min="5" max="5" width="18.6640625" customWidth="1"/>
    <col min="6" max="6" width="33.6640625" customWidth="1"/>
  </cols>
  <sheetData>
    <row r="1" spans="1:6" ht="14.25" customHeight="1" x14ac:dyDescent="0.3">
      <c r="A1" s="3" t="s">
        <v>425</v>
      </c>
      <c r="B1" s="3" t="s">
        <v>426</v>
      </c>
      <c r="C1" s="3" t="s">
        <v>427</v>
      </c>
      <c r="D1" s="3" t="s">
        <v>428</v>
      </c>
      <c r="E1" s="3" t="s">
        <v>438</v>
      </c>
      <c r="F1" s="3" t="s">
        <v>439</v>
      </c>
    </row>
    <row r="2" spans="1:6" ht="14.25" customHeight="1" x14ac:dyDescent="0.3">
      <c r="A2" s="25" t="s">
        <v>972</v>
      </c>
      <c r="B2" s="25" t="s">
        <v>973</v>
      </c>
      <c r="C2" s="25" t="s">
        <v>482</v>
      </c>
      <c r="D2" s="25">
        <v>250</v>
      </c>
      <c r="E2" s="25">
        <v>2</v>
      </c>
      <c r="F2" s="25">
        <v>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dimension ref="A1:F1000"/>
  <sheetViews>
    <sheetView workbookViewId="0"/>
  </sheetViews>
  <sheetFormatPr baseColWidth="10" defaultColWidth="14.44140625" defaultRowHeight="15" customHeight="1" x14ac:dyDescent="0.3"/>
  <cols>
    <col min="1" max="1" width="16.33203125" customWidth="1"/>
    <col min="2" max="2" width="13.44140625" customWidth="1"/>
    <col min="3" max="3" width="12.6640625" customWidth="1"/>
    <col min="4" max="4" width="13.33203125" customWidth="1"/>
    <col min="5" max="5" width="10.6640625" customWidth="1"/>
    <col min="6" max="6" width="26.6640625" customWidth="1"/>
  </cols>
  <sheetData>
    <row r="1" spans="1:6" ht="12.75" customHeight="1" x14ac:dyDescent="0.3">
      <c r="A1" s="3" t="s">
        <v>425</v>
      </c>
      <c r="B1" s="3" t="s">
        <v>426</v>
      </c>
      <c r="C1" s="3" t="s">
        <v>3</v>
      </c>
      <c r="D1" s="3" t="s">
        <v>427</v>
      </c>
      <c r="E1" s="3" t="s">
        <v>428</v>
      </c>
      <c r="F1" s="3" t="s">
        <v>440</v>
      </c>
    </row>
    <row r="2" spans="1:6" ht="14.25" customHeight="1" x14ac:dyDescent="0.3">
      <c r="A2" s="25" t="s">
        <v>972</v>
      </c>
      <c r="B2" s="25" t="s">
        <v>973</v>
      </c>
      <c r="C2" s="25" t="s">
        <v>138</v>
      </c>
      <c r="D2" s="25" t="s">
        <v>482</v>
      </c>
      <c r="E2" s="25">
        <v>250</v>
      </c>
      <c r="F2" s="25" t="s">
        <v>159</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dimension ref="A1:F1000"/>
  <sheetViews>
    <sheetView workbookViewId="0"/>
  </sheetViews>
  <sheetFormatPr baseColWidth="10" defaultColWidth="14.44140625" defaultRowHeight="15" customHeight="1" x14ac:dyDescent="0.3"/>
  <cols>
    <col min="1" max="1" width="17" customWidth="1"/>
    <col min="2" max="2" width="13.44140625" customWidth="1"/>
    <col min="3" max="3" width="13.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2"/>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7.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4"/>
  <dimension ref="A1:F1000"/>
  <sheetViews>
    <sheetView workbookViewId="0"/>
  </sheetViews>
  <sheetFormatPr baseColWidth="10" defaultColWidth="14.44140625" defaultRowHeight="15" customHeight="1" x14ac:dyDescent="0.3"/>
  <cols>
    <col min="1" max="1" width="14.44140625" customWidth="1"/>
    <col min="2" max="2" width="10.6640625" customWidth="1"/>
    <col min="3" max="3" width="13.6640625" customWidth="1"/>
    <col min="4"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9"/>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5" width="10.6640625" customWidth="1"/>
    <col min="6" max="6" width="22.6640625" customWidth="1"/>
    <col min="7" max="7" width="20.33203125" customWidth="1"/>
  </cols>
  <sheetData>
    <row r="1" spans="1:7" ht="14.25" customHeight="1" x14ac:dyDescent="0.3">
      <c r="A1" s="3" t="s">
        <v>443</v>
      </c>
      <c r="B1" s="154" t="s">
        <v>426</v>
      </c>
      <c r="C1" s="154" t="s">
        <v>444</v>
      </c>
      <c r="D1" s="154" t="s">
        <v>441</v>
      </c>
      <c r="E1" s="154" t="s">
        <v>8</v>
      </c>
      <c r="F1" s="154" t="s">
        <v>445</v>
      </c>
      <c r="G1" s="154" t="s">
        <v>446</v>
      </c>
    </row>
    <row r="2" spans="1:7" ht="14.25" customHeight="1" x14ac:dyDescent="0.3">
      <c r="A2" s="25" t="s">
        <v>972</v>
      </c>
      <c r="B2" s="25" t="s">
        <v>973</v>
      </c>
      <c r="C2" s="25">
        <v>250</v>
      </c>
      <c r="D2" s="25" t="s">
        <v>482</v>
      </c>
      <c r="E2" s="25" t="s">
        <v>236</v>
      </c>
      <c r="F2" s="25" t="s">
        <v>151</v>
      </c>
      <c r="G2" s="25" t="s">
        <v>151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35"/>
  <dimension ref="A1:G1000"/>
  <sheetViews>
    <sheetView workbookViewId="0"/>
  </sheetViews>
  <sheetFormatPr baseColWidth="10" defaultColWidth="14.44140625" defaultRowHeight="15" customHeight="1" x14ac:dyDescent="0.3"/>
  <cols>
    <col min="1" max="1" width="14.44140625" customWidth="1"/>
    <col min="2" max="2" width="16.332031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447</v>
      </c>
    </row>
    <row r="2" spans="1:7" ht="14.25" customHeight="1" x14ac:dyDescent="0.3">
      <c r="A2" s="25" t="s">
        <v>972</v>
      </c>
      <c r="B2" s="25" t="s">
        <v>973</v>
      </c>
      <c r="C2" s="25">
        <v>250</v>
      </c>
      <c r="D2" s="25" t="s">
        <v>482</v>
      </c>
      <c r="E2" s="25" t="s">
        <v>236</v>
      </c>
      <c r="F2" s="25" t="s">
        <v>150</v>
      </c>
      <c r="G2" s="25">
        <v>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6"/>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448</v>
      </c>
    </row>
    <row r="2" spans="1:7" ht="14.25" customHeight="1" x14ac:dyDescent="0.3">
      <c r="A2" s="25" t="s">
        <v>972</v>
      </c>
      <c r="B2" s="25" t="s">
        <v>973</v>
      </c>
      <c r="C2" s="25">
        <v>250</v>
      </c>
      <c r="D2" s="25" t="s">
        <v>482</v>
      </c>
      <c r="E2" s="25" t="s">
        <v>236</v>
      </c>
      <c r="F2" s="25" t="s">
        <v>151</v>
      </c>
      <c r="G2" s="25" t="s">
        <v>152</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8"/>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7"/>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1"/>
  <dimension ref="A1:E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20.109375" customWidth="1"/>
    <col min="5" max="6" width="10.6640625" customWidth="1"/>
  </cols>
  <sheetData>
    <row r="1" spans="1:5" ht="21" customHeight="1" x14ac:dyDescent="0.3">
      <c r="A1" s="3" t="s">
        <v>443</v>
      </c>
      <c r="B1" s="154" t="s">
        <v>426</v>
      </c>
      <c r="C1" s="154" t="s">
        <v>428</v>
      </c>
      <c r="D1" s="154" t="s">
        <v>441</v>
      </c>
      <c r="E1" s="154" t="s">
        <v>442</v>
      </c>
    </row>
    <row r="2" spans="1:5" ht="14.25" customHeight="1" x14ac:dyDescent="0.3">
      <c r="A2" s="25" t="s">
        <v>972</v>
      </c>
      <c r="B2" s="25" t="s">
        <v>973</v>
      </c>
      <c r="C2" s="25">
        <v>250</v>
      </c>
      <c r="D2" s="25" t="s">
        <v>482</v>
      </c>
      <c r="E2" s="25" t="s">
        <v>151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
  <dimension ref="A1:O1000"/>
  <sheetViews>
    <sheetView workbookViewId="0"/>
  </sheetViews>
  <sheetFormatPr baseColWidth="10" defaultColWidth="14.44140625" defaultRowHeight="15" customHeight="1" x14ac:dyDescent="0.3"/>
  <cols>
    <col min="1" max="1" width="10.6640625" customWidth="1"/>
    <col min="2" max="2" width="24.5546875" customWidth="1"/>
    <col min="3" max="3" width="10.6640625" customWidth="1"/>
    <col min="4" max="4" width="14.109375" customWidth="1"/>
    <col min="5" max="5" width="15" customWidth="1"/>
    <col min="6" max="6" width="17.33203125" customWidth="1"/>
    <col min="7" max="7" width="19.5546875" customWidth="1"/>
    <col min="8" max="8" width="19.33203125" customWidth="1"/>
    <col min="9" max="9" width="15.6640625" customWidth="1"/>
    <col min="10" max="10" width="10.6640625" customWidth="1"/>
    <col min="11" max="11" width="26.33203125" customWidth="1"/>
    <col min="12" max="12" width="10.6640625" customWidth="1"/>
    <col min="13" max="13" width="120.88671875" customWidth="1"/>
    <col min="14" max="14" width="10.6640625" customWidth="1"/>
    <col min="15" max="15" width="255.6640625" customWidth="1"/>
  </cols>
  <sheetData>
    <row r="1" spans="1:15" ht="14.25" customHeight="1" x14ac:dyDescent="0.3">
      <c r="A1" s="25" t="s">
        <v>449</v>
      </c>
    </row>
    <row r="2" spans="1:15" ht="14.25" customHeight="1" x14ac:dyDescent="0.3">
      <c r="A2" s="155" t="s">
        <v>450</v>
      </c>
      <c r="B2" s="156" t="s">
        <v>451</v>
      </c>
      <c r="C2" s="156" t="s">
        <v>452</v>
      </c>
      <c r="D2" s="156" t="s">
        <v>453</v>
      </c>
      <c r="E2" s="157" t="s">
        <v>454</v>
      </c>
      <c r="G2" s="158" t="s">
        <v>441</v>
      </c>
      <c r="H2" s="159" t="s">
        <v>455</v>
      </c>
      <c r="O2" s="160" t="s">
        <v>456</v>
      </c>
    </row>
    <row r="3" spans="1:15" ht="66" customHeight="1" x14ac:dyDescent="0.3">
      <c r="A3" s="161" t="s">
        <v>457</v>
      </c>
      <c r="B3" s="162">
        <v>2000</v>
      </c>
      <c r="C3" s="162">
        <v>6000</v>
      </c>
      <c r="D3" s="162">
        <v>12000</v>
      </c>
      <c r="E3" s="163" t="s">
        <v>458</v>
      </c>
      <c r="G3" s="164" t="s">
        <v>459</v>
      </c>
      <c r="H3" s="165" t="s">
        <v>453</v>
      </c>
      <c r="O3" s="166" t="s">
        <v>460</v>
      </c>
    </row>
    <row r="4" spans="1:15" ht="14.25" customHeight="1" x14ac:dyDescent="0.3">
      <c r="A4" s="161" t="s">
        <v>461</v>
      </c>
      <c r="B4" s="162">
        <v>1000</v>
      </c>
      <c r="C4" s="162">
        <v>4000</v>
      </c>
      <c r="D4" s="162">
        <v>8000</v>
      </c>
      <c r="E4" s="167">
        <v>12000</v>
      </c>
      <c r="G4" s="168" t="s">
        <v>428</v>
      </c>
      <c r="H4" s="169">
        <f t="array" ref="H4">INDEX(B3:E10, MATCH(H2, A3:A10, 0), MATCH(H3, B2:E2, 0))</f>
        <v>7000</v>
      </c>
      <c r="O4" s="160" t="s">
        <v>28</v>
      </c>
    </row>
    <row r="5" spans="1:15" ht="14.25" customHeight="1" x14ac:dyDescent="0.3">
      <c r="A5" s="161" t="s">
        <v>455</v>
      </c>
      <c r="B5" s="170">
        <v>500</v>
      </c>
      <c r="C5" s="162">
        <v>3500</v>
      </c>
      <c r="D5" s="162">
        <v>7000</v>
      </c>
      <c r="E5" s="167">
        <v>10000</v>
      </c>
      <c r="O5" s="166" t="s">
        <v>462</v>
      </c>
    </row>
    <row r="6" spans="1:15" ht="14.25" customHeight="1" x14ac:dyDescent="0.3">
      <c r="A6" s="161" t="s">
        <v>463</v>
      </c>
      <c r="B6" s="170">
        <v>400</v>
      </c>
      <c r="C6" s="162">
        <v>3000</v>
      </c>
      <c r="D6" s="162">
        <v>6000</v>
      </c>
      <c r="E6" s="167">
        <v>8000</v>
      </c>
    </row>
    <row r="7" spans="1:15" ht="14.25" customHeight="1" x14ac:dyDescent="0.3">
      <c r="A7" s="161" t="s">
        <v>464</v>
      </c>
      <c r="B7" s="170">
        <v>300</v>
      </c>
      <c r="C7" s="162">
        <v>2500</v>
      </c>
      <c r="D7" s="162">
        <v>5000</v>
      </c>
      <c r="E7" s="167">
        <v>7000</v>
      </c>
    </row>
    <row r="8" spans="1:15" ht="14.25" customHeight="1" x14ac:dyDescent="0.3">
      <c r="A8" s="161" t="s">
        <v>465</v>
      </c>
      <c r="B8" s="171" t="s">
        <v>466</v>
      </c>
      <c r="C8" s="162">
        <v>2000</v>
      </c>
      <c r="D8" s="162">
        <v>4000</v>
      </c>
      <c r="E8" s="167">
        <v>6000</v>
      </c>
    </row>
    <row r="9" spans="1:15" ht="14.25" customHeight="1" x14ac:dyDescent="0.3">
      <c r="A9" s="161" t="s">
        <v>467</v>
      </c>
      <c r="B9" s="171" t="s">
        <v>466</v>
      </c>
      <c r="C9" s="162">
        <v>1500</v>
      </c>
      <c r="D9" s="162">
        <v>3000</v>
      </c>
      <c r="E9" s="167">
        <v>5000</v>
      </c>
    </row>
    <row r="10" spans="1:15" ht="14.25" customHeight="1" x14ac:dyDescent="0.3">
      <c r="A10" s="172" t="s">
        <v>468</v>
      </c>
      <c r="B10" s="173" t="s">
        <v>466</v>
      </c>
      <c r="C10" s="173" t="s">
        <v>466</v>
      </c>
      <c r="D10" s="173" t="s">
        <v>466</v>
      </c>
      <c r="E10" s="174">
        <v>4000</v>
      </c>
      <c r="O10" s="160" t="s">
        <v>469</v>
      </c>
    </row>
    <row r="11" spans="1:15" ht="48.75" customHeight="1" x14ac:dyDescent="0.3">
      <c r="O11" s="166" t="s">
        <v>470</v>
      </c>
    </row>
    <row r="12" spans="1:15" ht="14.25" customHeight="1" x14ac:dyDescent="0.3">
      <c r="O12" s="160" t="s">
        <v>471</v>
      </c>
    </row>
    <row r="13" spans="1:15" ht="212.25" customHeight="1" x14ac:dyDescent="0.3">
      <c r="O13" s="166" t="s">
        <v>472</v>
      </c>
    </row>
    <row r="14" spans="1:15" ht="14.25" customHeight="1" x14ac:dyDescent="0.3"/>
    <row r="15" spans="1:15" ht="14.25" customHeight="1" x14ac:dyDescent="0.3"/>
    <row r="16" spans="1:15" ht="14.25" customHeight="1" x14ac:dyDescent="0.3">
      <c r="A16" s="175" t="s">
        <v>473</v>
      </c>
      <c r="B16" s="176" t="s">
        <v>474</v>
      </c>
      <c r="C16" s="176" t="s">
        <v>475</v>
      </c>
      <c r="D16" s="176" t="s">
        <v>476</v>
      </c>
      <c r="E16" s="176" t="s">
        <v>428</v>
      </c>
      <c r="F16" s="176" t="s">
        <v>477</v>
      </c>
      <c r="G16" s="176" t="s">
        <v>478</v>
      </c>
      <c r="H16" s="176" t="s">
        <v>479</v>
      </c>
      <c r="I16" s="177" t="s">
        <v>478</v>
      </c>
      <c r="K16" s="175" t="s">
        <v>23</v>
      </c>
      <c r="L16" s="177" t="s">
        <v>480</v>
      </c>
    </row>
    <row r="17" spans="1:15" ht="14.25" customHeight="1" x14ac:dyDescent="0.3">
      <c r="A17" s="178">
        <v>1</v>
      </c>
      <c r="B17" s="179" t="s">
        <v>481</v>
      </c>
      <c r="C17" s="179" t="s">
        <v>482</v>
      </c>
      <c r="D17" s="179" t="s">
        <v>139</v>
      </c>
      <c r="E17" s="179">
        <v>2000</v>
      </c>
      <c r="F17" s="179">
        <v>0</v>
      </c>
      <c r="G17" s="179" t="s">
        <v>483</v>
      </c>
      <c r="H17" s="179">
        <v>0</v>
      </c>
      <c r="I17" s="180" t="s">
        <v>483</v>
      </c>
      <c r="K17" s="181" t="s">
        <v>484</v>
      </c>
      <c r="L17" s="182">
        <v>1.25</v>
      </c>
    </row>
    <row r="18" spans="1:15" ht="14.25" customHeight="1" x14ac:dyDescent="0.3">
      <c r="A18" s="40">
        <v>2</v>
      </c>
      <c r="B18" s="183" t="s">
        <v>481</v>
      </c>
      <c r="C18" s="183" t="s">
        <v>154</v>
      </c>
      <c r="D18" s="183" t="s">
        <v>139</v>
      </c>
      <c r="E18" s="183">
        <v>1000</v>
      </c>
      <c r="F18" s="183">
        <v>0</v>
      </c>
      <c r="G18" s="179" t="s">
        <v>483</v>
      </c>
      <c r="H18" s="183">
        <v>0</v>
      </c>
      <c r="I18" s="180" t="s">
        <v>483</v>
      </c>
      <c r="K18" s="175" t="s">
        <v>28</v>
      </c>
      <c r="L18" s="177" t="s">
        <v>480</v>
      </c>
      <c r="M18" s="184" t="s">
        <v>485</v>
      </c>
    </row>
    <row r="19" spans="1:15" ht="14.25" customHeight="1" x14ac:dyDescent="0.3">
      <c r="A19" s="40">
        <v>3</v>
      </c>
      <c r="B19" s="183" t="s">
        <v>481</v>
      </c>
      <c r="C19" s="183" t="s">
        <v>486</v>
      </c>
      <c r="D19" s="183" t="s">
        <v>139</v>
      </c>
      <c r="E19" s="183">
        <v>500</v>
      </c>
      <c r="F19" s="183">
        <v>5</v>
      </c>
      <c r="G19" s="183" t="s">
        <v>487</v>
      </c>
      <c r="H19" s="183">
        <v>15</v>
      </c>
      <c r="I19" s="37" t="s">
        <v>487</v>
      </c>
      <c r="K19" s="185" t="s">
        <v>488</v>
      </c>
      <c r="L19" s="182">
        <v>2</v>
      </c>
      <c r="M19" s="186" t="s">
        <v>489</v>
      </c>
    </row>
    <row r="20" spans="1:15" ht="14.25" customHeight="1" x14ac:dyDescent="0.3">
      <c r="A20" s="40">
        <v>4</v>
      </c>
      <c r="B20" s="183" t="s">
        <v>481</v>
      </c>
      <c r="C20" s="183" t="s">
        <v>490</v>
      </c>
      <c r="D20" s="183" t="s">
        <v>139</v>
      </c>
      <c r="E20" s="183">
        <v>400</v>
      </c>
      <c r="F20" s="183">
        <v>5</v>
      </c>
      <c r="G20" s="183" t="s">
        <v>487</v>
      </c>
      <c r="H20" s="183">
        <v>15</v>
      </c>
      <c r="I20" s="37" t="s">
        <v>487</v>
      </c>
      <c r="K20" s="175" t="s">
        <v>491</v>
      </c>
      <c r="L20" s="177" t="s">
        <v>480</v>
      </c>
    </row>
    <row r="21" spans="1:15" ht="14.25" customHeight="1" x14ac:dyDescent="0.3">
      <c r="A21" s="40">
        <v>5</v>
      </c>
      <c r="B21" s="183" t="s">
        <v>481</v>
      </c>
      <c r="C21" s="183" t="s">
        <v>431</v>
      </c>
      <c r="D21" s="183" t="s">
        <v>139</v>
      </c>
      <c r="E21" s="183">
        <v>300</v>
      </c>
      <c r="F21" s="183">
        <v>5</v>
      </c>
      <c r="G21" s="183" t="s">
        <v>487</v>
      </c>
      <c r="H21" s="183">
        <v>15</v>
      </c>
      <c r="I21" s="37" t="s">
        <v>487</v>
      </c>
      <c r="K21" s="187" t="s">
        <v>492</v>
      </c>
      <c r="L21" s="188">
        <v>2.5</v>
      </c>
    </row>
    <row r="22" spans="1:15" ht="14.25" customHeight="1" x14ac:dyDescent="0.3">
      <c r="A22" s="40">
        <v>6</v>
      </c>
      <c r="B22" s="183" t="s">
        <v>481</v>
      </c>
      <c r="C22" s="183" t="s">
        <v>160</v>
      </c>
      <c r="D22" s="183" t="s">
        <v>139</v>
      </c>
      <c r="E22" s="189" t="s">
        <v>493</v>
      </c>
      <c r="F22" s="183">
        <v>5</v>
      </c>
      <c r="G22" s="183" t="s">
        <v>487</v>
      </c>
      <c r="H22" s="183">
        <v>15</v>
      </c>
      <c r="I22" s="37" t="s">
        <v>487</v>
      </c>
      <c r="K22" s="25" t="s">
        <v>494</v>
      </c>
    </row>
    <row r="23" spans="1:15" ht="14.25" customHeight="1" x14ac:dyDescent="0.3">
      <c r="A23" s="40">
        <v>7</v>
      </c>
      <c r="B23" s="183" t="s">
        <v>481</v>
      </c>
      <c r="C23" s="183" t="s">
        <v>495</v>
      </c>
      <c r="D23" s="183" t="s">
        <v>139</v>
      </c>
      <c r="E23" s="189" t="s">
        <v>493</v>
      </c>
      <c r="F23" s="183">
        <v>5</v>
      </c>
      <c r="G23" s="183" t="s">
        <v>487</v>
      </c>
      <c r="H23" s="183">
        <v>15</v>
      </c>
      <c r="I23" s="37" t="s">
        <v>487</v>
      </c>
    </row>
    <row r="24" spans="1:15" ht="14.25" customHeight="1" x14ac:dyDescent="0.3">
      <c r="A24" s="40">
        <v>8</v>
      </c>
      <c r="B24" s="183" t="s">
        <v>481</v>
      </c>
      <c r="C24" s="183" t="s">
        <v>496</v>
      </c>
      <c r="D24" s="183" t="s">
        <v>139</v>
      </c>
      <c r="E24" s="189" t="s">
        <v>493</v>
      </c>
      <c r="F24" s="183">
        <v>5</v>
      </c>
      <c r="G24" s="183" t="s">
        <v>487</v>
      </c>
      <c r="H24" s="183">
        <v>15</v>
      </c>
      <c r="I24" s="37" t="s">
        <v>487</v>
      </c>
    </row>
    <row r="25" spans="1:15" ht="14.25" customHeight="1" x14ac:dyDescent="0.3">
      <c r="A25" s="40">
        <v>9</v>
      </c>
      <c r="B25" s="183" t="s">
        <v>497</v>
      </c>
      <c r="C25" s="183" t="s">
        <v>482</v>
      </c>
      <c r="D25" s="183" t="s">
        <v>139</v>
      </c>
      <c r="E25" s="183">
        <v>6000</v>
      </c>
      <c r="F25" s="183">
        <v>0</v>
      </c>
      <c r="G25" s="179" t="s">
        <v>483</v>
      </c>
      <c r="H25" s="183">
        <v>0</v>
      </c>
      <c r="I25" s="180" t="s">
        <v>483</v>
      </c>
    </row>
    <row r="26" spans="1:15" ht="14.25" customHeight="1" x14ac:dyDescent="0.3">
      <c r="A26" s="40">
        <v>10</v>
      </c>
      <c r="B26" s="183" t="s">
        <v>497</v>
      </c>
      <c r="C26" s="183" t="s">
        <v>154</v>
      </c>
      <c r="D26" s="183" t="s">
        <v>139</v>
      </c>
      <c r="E26" s="183">
        <v>4000</v>
      </c>
      <c r="F26" s="183">
        <v>0</v>
      </c>
      <c r="G26" s="179" t="s">
        <v>483</v>
      </c>
      <c r="H26" s="183">
        <v>0</v>
      </c>
      <c r="I26" s="180" t="s">
        <v>483</v>
      </c>
      <c r="O26" s="160" t="s">
        <v>498</v>
      </c>
    </row>
    <row r="27" spans="1:15" ht="14.25" customHeight="1" x14ac:dyDescent="0.3">
      <c r="A27" s="40">
        <v>11</v>
      </c>
      <c r="B27" s="183" t="s">
        <v>497</v>
      </c>
      <c r="C27" s="183" t="s">
        <v>486</v>
      </c>
      <c r="D27" s="183" t="s">
        <v>139</v>
      </c>
      <c r="E27" s="183">
        <v>3500</v>
      </c>
      <c r="F27" s="183">
        <v>5</v>
      </c>
      <c r="G27" s="183" t="s">
        <v>487</v>
      </c>
      <c r="H27" s="183">
        <v>0</v>
      </c>
      <c r="I27" s="180" t="s">
        <v>483</v>
      </c>
      <c r="O27" s="120" t="s">
        <v>499</v>
      </c>
    </row>
    <row r="28" spans="1:15" ht="151.5" customHeight="1" x14ac:dyDescent="0.3">
      <c r="A28" s="40">
        <v>12</v>
      </c>
      <c r="B28" s="183" t="s">
        <v>497</v>
      </c>
      <c r="C28" s="183" t="s">
        <v>490</v>
      </c>
      <c r="D28" s="183" t="s">
        <v>139</v>
      </c>
      <c r="E28" s="183">
        <v>3000</v>
      </c>
      <c r="F28" s="183">
        <v>5</v>
      </c>
      <c r="G28" s="183" t="s">
        <v>487</v>
      </c>
      <c r="H28" s="183">
        <v>0</v>
      </c>
      <c r="I28" s="180" t="s">
        <v>483</v>
      </c>
      <c r="O28" s="120" t="s">
        <v>500</v>
      </c>
    </row>
    <row r="29" spans="1:15" ht="14.25" customHeight="1" x14ac:dyDescent="0.3">
      <c r="A29" s="40">
        <v>13</v>
      </c>
      <c r="B29" s="183" t="s">
        <v>497</v>
      </c>
      <c r="C29" s="183" t="s">
        <v>431</v>
      </c>
      <c r="D29" s="183" t="s">
        <v>139</v>
      </c>
      <c r="E29" s="183">
        <v>2500</v>
      </c>
      <c r="F29" s="183">
        <v>5</v>
      </c>
      <c r="G29" s="183" t="s">
        <v>487</v>
      </c>
      <c r="H29" s="183">
        <v>0</v>
      </c>
      <c r="I29" s="180" t="s">
        <v>483</v>
      </c>
      <c r="O29" s="120" t="s">
        <v>501</v>
      </c>
    </row>
    <row r="30" spans="1:15" ht="14.25" customHeight="1" x14ac:dyDescent="0.3">
      <c r="A30" s="40">
        <v>14</v>
      </c>
      <c r="B30" s="183" t="s">
        <v>497</v>
      </c>
      <c r="C30" s="183" t="s">
        <v>160</v>
      </c>
      <c r="D30" s="183" t="s">
        <v>139</v>
      </c>
      <c r="E30" s="183">
        <v>2000</v>
      </c>
      <c r="F30" s="183">
        <v>5</v>
      </c>
      <c r="G30" s="183" t="s">
        <v>487</v>
      </c>
      <c r="H30" s="183">
        <v>15</v>
      </c>
      <c r="I30" s="37" t="s">
        <v>487</v>
      </c>
      <c r="O30" s="120" t="s">
        <v>502</v>
      </c>
    </row>
    <row r="31" spans="1:15" ht="14.25" customHeight="1" x14ac:dyDescent="0.3">
      <c r="A31" s="40">
        <v>15</v>
      </c>
      <c r="B31" s="183" t="s">
        <v>497</v>
      </c>
      <c r="C31" s="183" t="s">
        <v>495</v>
      </c>
      <c r="D31" s="183" t="s">
        <v>139</v>
      </c>
      <c r="E31" s="189" t="s">
        <v>493</v>
      </c>
      <c r="F31" s="183">
        <v>5</v>
      </c>
      <c r="G31" s="183" t="s">
        <v>487</v>
      </c>
      <c r="H31" s="183">
        <v>15</v>
      </c>
      <c r="I31" s="37" t="s">
        <v>487</v>
      </c>
      <c r="O31" s="120" t="s">
        <v>503</v>
      </c>
    </row>
    <row r="32" spans="1:15" ht="14.25" customHeight="1" x14ac:dyDescent="0.3">
      <c r="A32" s="40">
        <v>16</v>
      </c>
      <c r="B32" s="183" t="s">
        <v>497</v>
      </c>
      <c r="C32" s="183" t="s">
        <v>496</v>
      </c>
      <c r="D32" s="183" t="s">
        <v>139</v>
      </c>
      <c r="E32" s="189" t="s">
        <v>493</v>
      </c>
      <c r="F32" s="183">
        <v>5</v>
      </c>
      <c r="G32" s="183" t="s">
        <v>487</v>
      </c>
      <c r="H32" s="183">
        <v>15</v>
      </c>
      <c r="I32" s="37" t="s">
        <v>487</v>
      </c>
    </row>
    <row r="33" spans="1:15" ht="14.25" customHeight="1" x14ac:dyDescent="0.3">
      <c r="A33" s="40">
        <v>17</v>
      </c>
      <c r="B33" s="183" t="s">
        <v>138</v>
      </c>
      <c r="C33" s="183" t="s">
        <v>482</v>
      </c>
      <c r="D33" s="183" t="s">
        <v>139</v>
      </c>
      <c r="E33" s="183">
        <v>12000</v>
      </c>
      <c r="F33" s="183">
        <v>0</v>
      </c>
      <c r="G33" s="179" t="s">
        <v>483</v>
      </c>
      <c r="H33" s="183">
        <v>0</v>
      </c>
      <c r="I33" s="180" t="s">
        <v>483</v>
      </c>
    </row>
    <row r="34" spans="1:15" ht="14.25" customHeight="1" x14ac:dyDescent="0.3">
      <c r="A34" s="40">
        <v>18</v>
      </c>
      <c r="B34" s="183" t="s">
        <v>138</v>
      </c>
      <c r="C34" s="183" t="s">
        <v>154</v>
      </c>
      <c r="D34" s="183" t="s">
        <v>139</v>
      </c>
      <c r="E34" s="183">
        <v>8000</v>
      </c>
      <c r="F34" s="183">
        <v>0</v>
      </c>
      <c r="G34" s="179" t="s">
        <v>483</v>
      </c>
      <c r="H34" s="183">
        <v>0</v>
      </c>
      <c r="I34" s="180" t="s">
        <v>483</v>
      </c>
    </row>
    <row r="35" spans="1:15" ht="127.5" customHeight="1" x14ac:dyDescent="0.3">
      <c r="A35" s="40">
        <v>19</v>
      </c>
      <c r="B35" s="183" t="s">
        <v>138</v>
      </c>
      <c r="C35" s="183" t="s">
        <v>486</v>
      </c>
      <c r="D35" s="183" t="s">
        <v>139</v>
      </c>
      <c r="E35" s="183">
        <v>7000</v>
      </c>
      <c r="F35" s="183">
        <v>5</v>
      </c>
      <c r="G35" s="183" t="s">
        <v>487</v>
      </c>
      <c r="H35" s="183">
        <v>0</v>
      </c>
      <c r="I35" s="180" t="s">
        <v>483</v>
      </c>
      <c r="M35" s="120" t="s">
        <v>504</v>
      </c>
      <c r="O35" s="120" t="e">
        <f ca="1">_xludf.CONCAT(M35:M36)</f>
        <v>#NAME?</v>
      </c>
    </row>
    <row r="36" spans="1:15" ht="281.25" customHeight="1" x14ac:dyDescent="0.3">
      <c r="A36" s="40">
        <v>20</v>
      </c>
      <c r="B36" s="183" t="s">
        <v>138</v>
      </c>
      <c r="C36" s="183" t="s">
        <v>490</v>
      </c>
      <c r="D36" s="183" t="s">
        <v>139</v>
      </c>
      <c r="E36" s="183">
        <v>6000</v>
      </c>
      <c r="F36" s="183">
        <v>5</v>
      </c>
      <c r="G36" s="183" t="s">
        <v>487</v>
      </c>
      <c r="H36" s="183">
        <v>0</v>
      </c>
      <c r="I36" s="180" t="s">
        <v>483</v>
      </c>
      <c r="M36" s="120" t="s">
        <v>505</v>
      </c>
      <c r="O36" s="120"/>
    </row>
    <row r="37" spans="1:15" ht="14.25" customHeight="1" x14ac:dyDescent="0.3">
      <c r="A37" s="40">
        <v>21</v>
      </c>
      <c r="B37" s="183" t="s">
        <v>138</v>
      </c>
      <c r="C37" s="183" t="s">
        <v>431</v>
      </c>
      <c r="D37" s="183" t="s">
        <v>139</v>
      </c>
      <c r="E37" s="183">
        <v>5000</v>
      </c>
      <c r="F37" s="183">
        <v>5</v>
      </c>
      <c r="G37" s="183" t="s">
        <v>487</v>
      </c>
      <c r="H37" s="183">
        <v>0</v>
      </c>
      <c r="I37" s="180" t="s">
        <v>483</v>
      </c>
    </row>
    <row r="38" spans="1:15" ht="14.25" customHeight="1" x14ac:dyDescent="0.3">
      <c r="A38" s="40">
        <v>22</v>
      </c>
      <c r="B38" s="183" t="s">
        <v>138</v>
      </c>
      <c r="C38" s="183" t="s">
        <v>160</v>
      </c>
      <c r="D38" s="183" t="s">
        <v>139</v>
      </c>
      <c r="E38" s="183">
        <v>4000</v>
      </c>
      <c r="F38" s="183">
        <v>5</v>
      </c>
      <c r="G38" s="183" t="s">
        <v>506</v>
      </c>
      <c r="H38" s="183">
        <v>15</v>
      </c>
      <c r="I38" s="37" t="s">
        <v>487</v>
      </c>
    </row>
    <row r="39" spans="1:15" ht="14.25" customHeight="1" x14ac:dyDescent="0.3">
      <c r="A39" s="40">
        <v>23</v>
      </c>
      <c r="B39" s="183" t="s">
        <v>138</v>
      </c>
      <c r="C39" s="183" t="s">
        <v>495</v>
      </c>
      <c r="D39" s="183" t="s">
        <v>139</v>
      </c>
      <c r="E39" s="183">
        <v>3000</v>
      </c>
      <c r="F39" s="183">
        <v>5</v>
      </c>
      <c r="G39" s="183" t="s">
        <v>487</v>
      </c>
      <c r="H39" s="183">
        <v>15</v>
      </c>
      <c r="I39" s="37" t="s">
        <v>487</v>
      </c>
    </row>
    <row r="40" spans="1:15" ht="14.25" customHeight="1" x14ac:dyDescent="0.3">
      <c r="A40" s="40">
        <v>24</v>
      </c>
      <c r="B40" s="183" t="s">
        <v>138</v>
      </c>
      <c r="C40" s="183" t="s">
        <v>496</v>
      </c>
      <c r="D40" s="183" t="s">
        <v>139</v>
      </c>
      <c r="E40" s="189" t="s">
        <v>493</v>
      </c>
      <c r="F40" s="183">
        <v>5</v>
      </c>
      <c r="G40" s="183" t="s">
        <v>487</v>
      </c>
      <c r="H40" s="183">
        <v>15</v>
      </c>
      <c r="I40" s="37" t="s">
        <v>487</v>
      </c>
    </row>
    <row r="41" spans="1:15" ht="14.25" customHeight="1" x14ac:dyDescent="0.3">
      <c r="A41" s="40">
        <v>25</v>
      </c>
      <c r="B41" s="183" t="s">
        <v>155</v>
      </c>
      <c r="C41" s="183" t="s">
        <v>482</v>
      </c>
      <c r="D41" s="183" t="s">
        <v>139</v>
      </c>
      <c r="E41" s="183">
        <v>100000</v>
      </c>
      <c r="F41" s="183">
        <v>0</v>
      </c>
      <c r="G41" s="179" t="s">
        <v>483</v>
      </c>
      <c r="H41" s="183">
        <v>0</v>
      </c>
      <c r="I41" s="180" t="s">
        <v>483</v>
      </c>
    </row>
    <row r="42" spans="1:15" ht="14.25" customHeight="1" x14ac:dyDescent="0.3">
      <c r="A42" s="40">
        <v>26</v>
      </c>
      <c r="B42" s="183" t="s">
        <v>155</v>
      </c>
      <c r="C42" s="183" t="s">
        <v>154</v>
      </c>
      <c r="D42" s="183" t="s">
        <v>139</v>
      </c>
      <c r="E42" s="183">
        <v>12000</v>
      </c>
      <c r="F42" s="183">
        <v>0</v>
      </c>
      <c r="G42" s="179" t="s">
        <v>483</v>
      </c>
      <c r="H42" s="183">
        <v>0</v>
      </c>
      <c r="I42" s="180" t="s">
        <v>483</v>
      </c>
    </row>
    <row r="43" spans="1:15" ht="408" customHeight="1" x14ac:dyDescent="0.3">
      <c r="A43" s="40">
        <v>27</v>
      </c>
      <c r="B43" s="183" t="s">
        <v>155</v>
      </c>
      <c r="C43" s="183" t="s">
        <v>486</v>
      </c>
      <c r="D43" s="183" t="s">
        <v>139</v>
      </c>
      <c r="E43" s="183">
        <v>10000</v>
      </c>
      <c r="F43" s="183">
        <v>0</v>
      </c>
      <c r="G43" s="179" t="s">
        <v>483</v>
      </c>
      <c r="H43" s="183">
        <v>0</v>
      </c>
      <c r="I43" s="180" t="s">
        <v>483</v>
      </c>
      <c r="M43" s="120" t="s">
        <v>507</v>
      </c>
    </row>
    <row r="44" spans="1:15" ht="14.25" customHeight="1" x14ac:dyDescent="0.3">
      <c r="A44" s="40">
        <v>28</v>
      </c>
      <c r="B44" s="183" t="s">
        <v>155</v>
      </c>
      <c r="C44" s="183" t="s">
        <v>490</v>
      </c>
      <c r="D44" s="183" t="s">
        <v>139</v>
      </c>
      <c r="E44" s="183">
        <v>8000</v>
      </c>
      <c r="F44" s="183">
        <v>0</v>
      </c>
      <c r="G44" s="179" t="s">
        <v>483</v>
      </c>
      <c r="H44" s="183">
        <v>0</v>
      </c>
      <c r="I44" s="180" t="s">
        <v>483</v>
      </c>
      <c r="M44" s="120" t="s">
        <v>508</v>
      </c>
    </row>
    <row r="45" spans="1:15" ht="14.25" customHeight="1" x14ac:dyDescent="0.3">
      <c r="A45" s="40">
        <v>29</v>
      </c>
      <c r="B45" s="183" t="s">
        <v>155</v>
      </c>
      <c r="C45" s="183" t="s">
        <v>431</v>
      </c>
      <c r="D45" s="183" t="s">
        <v>139</v>
      </c>
      <c r="E45" s="183">
        <v>7000</v>
      </c>
      <c r="F45" s="183">
        <v>0</v>
      </c>
      <c r="G45" s="179" t="s">
        <v>483</v>
      </c>
      <c r="H45" s="183">
        <v>0</v>
      </c>
      <c r="I45" s="180" t="s">
        <v>483</v>
      </c>
    </row>
    <row r="46" spans="1:15" ht="14.25" customHeight="1" x14ac:dyDescent="0.3">
      <c r="A46" s="40">
        <v>30</v>
      </c>
      <c r="B46" s="183" t="s">
        <v>155</v>
      </c>
      <c r="C46" s="183" t="s">
        <v>160</v>
      </c>
      <c r="D46" s="183" t="s">
        <v>139</v>
      </c>
      <c r="E46" s="183">
        <v>6000</v>
      </c>
      <c r="F46" s="183">
        <v>0</v>
      </c>
      <c r="G46" s="179" t="s">
        <v>483</v>
      </c>
      <c r="H46" s="183">
        <v>0</v>
      </c>
      <c r="I46" s="180" t="s">
        <v>483</v>
      </c>
    </row>
    <row r="47" spans="1:15" ht="14.25" customHeight="1" x14ac:dyDescent="0.3">
      <c r="A47" s="40">
        <v>31</v>
      </c>
      <c r="B47" s="183" t="s">
        <v>155</v>
      </c>
      <c r="C47" s="183" t="s">
        <v>495</v>
      </c>
      <c r="D47" s="183" t="s">
        <v>139</v>
      </c>
      <c r="E47" s="183">
        <v>5000</v>
      </c>
      <c r="F47" s="183">
        <v>0</v>
      </c>
      <c r="G47" s="179" t="s">
        <v>483</v>
      </c>
      <c r="H47" s="183">
        <v>0</v>
      </c>
      <c r="I47" s="180" t="s">
        <v>483</v>
      </c>
    </row>
    <row r="48" spans="1:15" ht="14.25" customHeight="1" x14ac:dyDescent="0.3">
      <c r="A48" s="190">
        <v>32</v>
      </c>
      <c r="B48" s="191" t="s">
        <v>155</v>
      </c>
      <c r="C48" s="191" t="s">
        <v>496</v>
      </c>
      <c r="D48" s="191" t="s">
        <v>139</v>
      </c>
      <c r="E48" s="191">
        <v>4000</v>
      </c>
      <c r="F48" s="183">
        <v>0</v>
      </c>
      <c r="G48" s="179" t="s">
        <v>483</v>
      </c>
      <c r="H48" s="183">
        <v>0</v>
      </c>
      <c r="I48" s="180" t="s">
        <v>483</v>
      </c>
    </row>
    <row r="49" spans="1:9" ht="13.5" customHeight="1" x14ac:dyDescent="0.3">
      <c r="A49" s="40">
        <v>25</v>
      </c>
      <c r="B49" s="183" t="s">
        <v>509</v>
      </c>
      <c r="C49" s="183" t="s">
        <v>482</v>
      </c>
      <c r="D49" s="183" t="s">
        <v>139</v>
      </c>
      <c r="E49" s="183" t="s">
        <v>487</v>
      </c>
      <c r="F49" s="183">
        <v>0</v>
      </c>
      <c r="G49" s="183" t="s">
        <v>487</v>
      </c>
      <c r="H49" s="183">
        <v>0</v>
      </c>
      <c r="I49" s="180" t="s">
        <v>483</v>
      </c>
    </row>
    <row r="50" spans="1:9" ht="14.25" customHeight="1" x14ac:dyDescent="0.3">
      <c r="A50" s="40">
        <v>26</v>
      </c>
      <c r="B50" s="183" t="s">
        <v>509</v>
      </c>
      <c r="C50" s="183" t="s">
        <v>154</v>
      </c>
      <c r="D50" s="183" t="s">
        <v>139</v>
      </c>
      <c r="E50" s="183" t="s">
        <v>487</v>
      </c>
      <c r="F50" s="183">
        <v>0</v>
      </c>
      <c r="G50" s="183" t="s">
        <v>487</v>
      </c>
      <c r="H50" s="183">
        <v>0</v>
      </c>
      <c r="I50" s="180" t="s">
        <v>483</v>
      </c>
    </row>
    <row r="51" spans="1:9" ht="14.25" customHeight="1" x14ac:dyDescent="0.3">
      <c r="A51" s="40">
        <v>27</v>
      </c>
      <c r="B51" s="183" t="s">
        <v>509</v>
      </c>
      <c r="C51" s="183" t="s">
        <v>486</v>
      </c>
      <c r="D51" s="183" t="s">
        <v>139</v>
      </c>
      <c r="E51" s="183" t="s">
        <v>487</v>
      </c>
      <c r="F51" s="183">
        <v>0</v>
      </c>
      <c r="G51" s="183" t="s">
        <v>487</v>
      </c>
      <c r="H51" s="183">
        <v>0</v>
      </c>
      <c r="I51" s="180" t="s">
        <v>483</v>
      </c>
    </row>
    <row r="52" spans="1:9" ht="14.25" customHeight="1" x14ac:dyDescent="0.3">
      <c r="A52" s="40">
        <v>28</v>
      </c>
      <c r="B52" s="183" t="s">
        <v>509</v>
      </c>
      <c r="C52" s="183" t="s">
        <v>490</v>
      </c>
      <c r="D52" s="183" t="s">
        <v>139</v>
      </c>
      <c r="E52" s="183" t="s">
        <v>487</v>
      </c>
      <c r="F52" s="183">
        <v>0</v>
      </c>
      <c r="G52" s="183" t="s">
        <v>487</v>
      </c>
      <c r="H52" s="183">
        <v>0</v>
      </c>
      <c r="I52" s="180" t="s">
        <v>483</v>
      </c>
    </row>
    <row r="53" spans="1:9" ht="14.25" customHeight="1" x14ac:dyDescent="0.3">
      <c r="A53" s="40">
        <v>29</v>
      </c>
      <c r="B53" s="183" t="s">
        <v>509</v>
      </c>
      <c r="C53" s="183" t="s">
        <v>431</v>
      </c>
      <c r="D53" s="183" t="s">
        <v>139</v>
      </c>
      <c r="E53" s="183" t="s">
        <v>487</v>
      </c>
      <c r="F53" s="183">
        <v>0</v>
      </c>
      <c r="G53" s="183" t="s">
        <v>487</v>
      </c>
      <c r="H53" s="183">
        <v>0</v>
      </c>
      <c r="I53" s="180" t="s">
        <v>483</v>
      </c>
    </row>
    <row r="54" spans="1:9" ht="14.25" customHeight="1" x14ac:dyDescent="0.3">
      <c r="A54" s="40">
        <v>30</v>
      </c>
      <c r="B54" s="183" t="s">
        <v>509</v>
      </c>
      <c r="C54" s="183" t="s">
        <v>160</v>
      </c>
      <c r="D54" s="183" t="s">
        <v>139</v>
      </c>
      <c r="E54" s="183" t="s">
        <v>487</v>
      </c>
      <c r="F54" s="183">
        <v>0</v>
      </c>
      <c r="G54" s="183" t="s">
        <v>487</v>
      </c>
      <c r="H54" s="183">
        <v>0</v>
      </c>
      <c r="I54" s="180" t="s">
        <v>483</v>
      </c>
    </row>
    <row r="55" spans="1:9" ht="14.25" customHeight="1" x14ac:dyDescent="0.3">
      <c r="A55" s="40">
        <v>31</v>
      </c>
      <c r="B55" s="183" t="s">
        <v>509</v>
      </c>
      <c r="C55" s="183" t="s">
        <v>495</v>
      </c>
      <c r="D55" s="183" t="s">
        <v>139</v>
      </c>
      <c r="E55" s="183" t="s">
        <v>487</v>
      </c>
      <c r="F55" s="183">
        <v>0</v>
      </c>
      <c r="G55" s="183" t="s">
        <v>487</v>
      </c>
      <c r="H55" s="183">
        <v>0</v>
      </c>
      <c r="I55" s="180" t="s">
        <v>483</v>
      </c>
    </row>
    <row r="56" spans="1:9" ht="14.25" customHeight="1" x14ac:dyDescent="0.3">
      <c r="A56" s="190">
        <v>32</v>
      </c>
      <c r="B56" s="183" t="s">
        <v>509</v>
      </c>
      <c r="C56" s="191" t="s">
        <v>496</v>
      </c>
      <c r="D56" s="191" t="s">
        <v>139</v>
      </c>
      <c r="E56" s="183" t="s">
        <v>487</v>
      </c>
      <c r="F56" s="191">
        <v>0</v>
      </c>
      <c r="G56" s="183" t="s">
        <v>487</v>
      </c>
      <c r="H56" s="191">
        <v>0</v>
      </c>
      <c r="I56" s="182" t="s">
        <v>483</v>
      </c>
    </row>
    <row r="57" spans="1:9" ht="14.25" customHeight="1" x14ac:dyDescent="0.3">
      <c r="A57" s="192">
        <v>33</v>
      </c>
      <c r="B57" s="193" t="s">
        <v>481</v>
      </c>
      <c r="C57" s="193" t="s">
        <v>482</v>
      </c>
      <c r="D57" s="193" t="s">
        <v>510</v>
      </c>
      <c r="E57" s="193">
        <v>400</v>
      </c>
      <c r="F57" s="193">
        <v>0</v>
      </c>
      <c r="G57" s="193" t="s">
        <v>487</v>
      </c>
      <c r="H57" s="193">
        <v>0</v>
      </c>
      <c r="I57" s="33" t="s">
        <v>487</v>
      </c>
    </row>
    <row r="58" spans="1:9" ht="14.25" customHeight="1" x14ac:dyDescent="0.3">
      <c r="A58" s="40">
        <v>34</v>
      </c>
      <c r="B58" s="183" t="s">
        <v>481</v>
      </c>
      <c r="C58" s="183" t="s">
        <v>154</v>
      </c>
      <c r="D58" s="183" t="s">
        <v>510</v>
      </c>
      <c r="E58" s="179">
        <v>400</v>
      </c>
      <c r="F58" s="183">
        <v>0</v>
      </c>
      <c r="G58" s="183" t="s">
        <v>487</v>
      </c>
      <c r="H58" s="183">
        <v>0</v>
      </c>
      <c r="I58" s="37" t="s">
        <v>487</v>
      </c>
    </row>
    <row r="59" spans="1:9" ht="14.25" customHeight="1" x14ac:dyDescent="0.3">
      <c r="A59" s="40">
        <v>35</v>
      </c>
      <c r="B59" s="183" t="s">
        <v>481</v>
      </c>
      <c r="C59" s="183" t="s">
        <v>486</v>
      </c>
      <c r="D59" s="183" t="s">
        <v>510</v>
      </c>
      <c r="E59" s="179">
        <v>250</v>
      </c>
      <c r="F59" s="183">
        <v>0</v>
      </c>
      <c r="G59" s="183" t="s">
        <v>487</v>
      </c>
      <c r="H59" s="183">
        <v>0</v>
      </c>
      <c r="I59" s="37" t="s">
        <v>487</v>
      </c>
    </row>
    <row r="60" spans="1:9" ht="14.25" customHeight="1" x14ac:dyDescent="0.3">
      <c r="A60" s="40">
        <v>36</v>
      </c>
      <c r="B60" s="183" t="s">
        <v>481</v>
      </c>
      <c r="C60" s="183" t="s">
        <v>490</v>
      </c>
      <c r="D60" s="183" t="s">
        <v>510</v>
      </c>
      <c r="E60" s="179">
        <v>200</v>
      </c>
      <c r="F60" s="183">
        <v>0</v>
      </c>
      <c r="G60" s="183" t="s">
        <v>487</v>
      </c>
      <c r="H60" s="183">
        <v>0</v>
      </c>
      <c r="I60" s="37" t="s">
        <v>487</v>
      </c>
    </row>
    <row r="61" spans="1:9" ht="14.25" customHeight="1" x14ac:dyDescent="0.3">
      <c r="A61" s="40">
        <v>37</v>
      </c>
      <c r="B61" s="183" t="s">
        <v>481</v>
      </c>
      <c r="C61" s="183" t="s">
        <v>431</v>
      </c>
      <c r="D61" s="183" t="s">
        <v>510</v>
      </c>
      <c r="E61" s="179">
        <v>150</v>
      </c>
      <c r="F61" s="183">
        <v>0</v>
      </c>
      <c r="G61" s="183" t="s">
        <v>487</v>
      </c>
      <c r="H61" s="183">
        <v>0</v>
      </c>
      <c r="I61" s="37" t="s">
        <v>487</v>
      </c>
    </row>
    <row r="62" spans="1:9" ht="14.25" customHeight="1" x14ac:dyDescent="0.3">
      <c r="A62" s="40">
        <v>38</v>
      </c>
      <c r="B62" s="183" t="s">
        <v>481</v>
      </c>
      <c r="C62" s="183" t="s">
        <v>160</v>
      </c>
      <c r="D62" s="183" t="s">
        <v>510</v>
      </c>
      <c r="E62" s="183" t="s">
        <v>493</v>
      </c>
      <c r="F62" s="183">
        <v>0</v>
      </c>
      <c r="G62" s="183" t="s">
        <v>487</v>
      </c>
      <c r="H62" s="183">
        <v>0</v>
      </c>
      <c r="I62" s="37" t="s">
        <v>487</v>
      </c>
    </row>
    <row r="63" spans="1:9" ht="14.25" customHeight="1" x14ac:dyDescent="0.3">
      <c r="A63" s="40">
        <v>39</v>
      </c>
      <c r="B63" s="183" t="s">
        <v>481</v>
      </c>
      <c r="C63" s="183" t="s">
        <v>495</v>
      </c>
      <c r="D63" s="183" t="s">
        <v>510</v>
      </c>
      <c r="E63" s="183" t="s">
        <v>493</v>
      </c>
      <c r="F63" s="183">
        <v>0</v>
      </c>
      <c r="G63" s="183" t="s">
        <v>487</v>
      </c>
      <c r="H63" s="183">
        <v>0</v>
      </c>
      <c r="I63" s="37" t="s">
        <v>487</v>
      </c>
    </row>
    <row r="64" spans="1:9" ht="14.25" customHeight="1" x14ac:dyDescent="0.3">
      <c r="A64" s="40">
        <v>40</v>
      </c>
      <c r="B64" s="183" t="s">
        <v>481</v>
      </c>
      <c r="C64" s="183" t="s">
        <v>496</v>
      </c>
      <c r="D64" s="183" t="s">
        <v>510</v>
      </c>
      <c r="E64" s="183" t="s">
        <v>493</v>
      </c>
      <c r="F64" s="183">
        <v>0</v>
      </c>
      <c r="G64" s="183" t="s">
        <v>487</v>
      </c>
      <c r="H64" s="183">
        <v>0</v>
      </c>
      <c r="I64" s="37" t="s">
        <v>487</v>
      </c>
    </row>
    <row r="65" spans="1:9" ht="14.25" customHeight="1" x14ac:dyDescent="0.3">
      <c r="A65" s="40">
        <v>41</v>
      </c>
      <c r="B65" s="183" t="s">
        <v>497</v>
      </c>
      <c r="C65" s="183" t="s">
        <v>482</v>
      </c>
      <c r="D65" s="183" t="s">
        <v>510</v>
      </c>
      <c r="E65" s="179">
        <v>400</v>
      </c>
      <c r="F65" s="183">
        <v>0</v>
      </c>
      <c r="G65" s="183" t="s">
        <v>487</v>
      </c>
      <c r="H65" s="183">
        <v>0</v>
      </c>
      <c r="I65" s="37" t="s">
        <v>487</v>
      </c>
    </row>
    <row r="66" spans="1:9" ht="14.25" customHeight="1" x14ac:dyDescent="0.3">
      <c r="A66" s="40">
        <v>42</v>
      </c>
      <c r="B66" s="183" t="s">
        <v>497</v>
      </c>
      <c r="C66" s="183" t="s">
        <v>154</v>
      </c>
      <c r="D66" s="183" t="s">
        <v>510</v>
      </c>
      <c r="E66" s="179">
        <v>400</v>
      </c>
      <c r="F66" s="183">
        <v>0</v>
      </c>
      <c r="G66" s="183" t="s">
        <v>487</v>
      </c>
      <c r="H66" s="183">
        <v>0</v>
      </c>
      <c r="I66" s="37" t="s">
        <v>487</v>
      </c>
    </row>
    <row r="67" spans="1:9" ht="14.25" customHeight="1" x14ac:dyDescent="0.3">
      <c r="A67" s="40">
        <v>43</v>
      </c>
      <c r="B67" s="183" t="s">
        <v>497</v>
      </c>
      <c r="C67" s="183" t="s">
        <v>486</v>
      </c>
      <c r="D67" s="183" t="s">
        <v>510</v>
      </c>
      <c r="E67" s="179">
        <v>400</v>
      </c>
      <c r="F67" s="183">
        <v>0</v>
      </c>
      <c r="G67" s="183" t="s">
        <v>487</v>
      </c>
      <c r="H67" s="183">
        <v>0</v>
      </c>
      <c r="I67" s="37" t="s">
        <v>487</v>
      </c>
    </row>
    <row r="68" spans="1:9" ht="14.25" customHeight="1" x14ac:dyDescent="0.3">
      <c r="A68" s="40">
        <v>44</v>
      </c>
      <c r="B68" s="183" t="s">
        <v>497</v>
      </c>
      <c r="C68" s="183" t="s">
        <v>490</v>
      </c>
      <c r="D68" s="183" t="s">
        <v>510</v>
      </c>
      <c r="E68" s="179">
        <v>400</v>
      </c>
      <c r="F68" s="183">
        <v>0</v>
      </c>
      <c r="G68" s="183" t="s">
        <v>487</v>
      </c>
      <c r="H68" s="183">
        <v>0</v>
      </c>
      <c r="I68" s="37" t="s">
        <v>487</v>
      </c>
    </row>
    <row r="69" spans="1:9" ht="14.25" customHeight="1" x14ac:dyDescent="0.3">
      <c r="A69" s="40">
        <v>45</v>
      </c>
      <c r="B69" s="183" t="s">
        <v>497</v>
      </c>
      <c r="C69" s="183" t="s">
        <v>431</v>
      </c>
      <c r="D69" s="183" t="s">
        <v>510</v>
      </c>
      <c r="E69" s="179">
        <v>400</v>
      </c>
      <c r="F69" s="183">
        <v>0</v>
      </c>
      <c r="G69" s="183" t="s">
        <v>487</v>
      </c>
      <c r="H69" s="183">
        <v>0</v>
      </c>
      <c r="I69" s="37" t="s">
        <v>487</v>
      </c>
    </row>
    <row r="70" spans="1:9" ht="14.25" customHeight="1" x14ac:dyDescent="0.3">
      <c r="A70" s="40">
        <v>46</v>
      </c>
      <c r="B70" s="183" t="s">
        <v>497</v>
      </c>
      <c r="C70" s="183" t="s">
        <v>160</v>
      </c>
      <c r="D70" s="183" t="s">
        <v>510</v>
      </c>
      <c r="E70" s="179">
        <v>400</v>
      </c>
      <c r="F70" s="183">
        <v>0</v>
      </c>
      <c r="G70" s="183" t="s">
        <v>487</v>
      </c>
      <c r="H70" s="183">
        <v>0</v>
      </c>
      <c r="I70" s="37" t="s">
        <v>487</v>
      </c>
    </row>
    <row r="71" spans="1:9" ht="14.25" customHeight="1" x14ac:dyDescent="0.3">
      <c r="A71" s="40">
        <v>47</v>
      </c>
      <c r="B71" s="183" t="s">
        <v>497</v>
      </c>
      <c r="C71" s="183" t="s">
        <v>495</v>
      </c>
      <c r="D71" s="183" t="s">
        <v>510</v>
      </c>
      <c r="E71" s="179">
        <v>400</v>
      </c>
      <c r="F71" s="183">
        <v>0</v>
      </c>
      <c r="G71" s="183" t="s">
        <v>487</v>
      </c>
      <c r="H71" s="183">
        <v>0</v>
      </c>
      <c r="I71" s="37" t="s">
        <v>487</v>
      </c>
    </row>
    <row r="72" spans="1:9" ht="14.25" customHeight="1" x14ac:dyDescent="0.3">
      <c r="A72" s="40">
        <v>48</v>
      </c>
      <c r="B72" s="183" t="s">
        <v>497</v>
      </c>
      <c r="C72" s="183" t="s">
        <v>496</v>
      </c>
      <c r="D72" s="183" t="s">
        <v>510</v>
      </c>
      <c r="E72" s="183" t="s">
        <v>493</v>
      </c>
      <c r="F72" s="183">
        <v>0</v>
      </c>
      <c r="G72" s="183" t="s">
        <v>487</v>
      </c>
      <c r="H72" s="183">
        <v>0</v>
      </c>
      <c r="I72" s="37" t="s">
        <v>487</v>
      </c>
    </row>
    <row r="73" spans="1:9" ht="14.25" customHeight="1" x14ac:dyDescent="0.3">
      <c r="A73" s="40">
        <v>49</v>
      </c>
      <c r="B73" s="183" t="s">
        <v>138</v>
      </c>
      <c r="C73" s="183" t="s">
        <v>482</v>
      </c>
      <c r="D73" s="183" t="s">
        <v>510</v>
      </c>
      <c r="E73" s="179">
        <v>400</v>
      </c>
      <c r="F73" s="183">
        <v>0</v>
      </c>
      <c r="G73" s="183" t="s">
        <v>487</v>
      </c>
      <c r="H73" s="183">
        <v>0</v>
      </c>
      <c r="I73" s="37" t="s">
        <v>487</v>
      </c>
    </row>
    <row r="74" spans="1:9" ht="14.25" customHeight="1" x14ac:dyDescent="0.3">
      <c r="A74" s="40">
        <v>50</v>
      </c>
      <c r="B74" s="183" t="s">
        <v>138</v>
      </c>
      <c r="C74" s="183" t="s">
        <v>154</v>
      </c>
      <c r="D74" s="183" t="s">
        <v>510</v>
      </c>
      <c r="E74" s="179">
        <v>400</v>
      </c>
      <c r="F74" s="183">
        <v>0</v>
      </c>
      <c r="G74" s="183" t="s">
        <v>487</v>
      </c>
      <c r="H74" s="183">
        <v>0</v>
      </c>
      <c r="I74" s="37" t="s">
        <v>487</v>
      </c>
    </row>
    <row r="75" spans="1:9" ht="14.25" customHeight="1" x14ac:dyDescent="0.3">
      <c r="A75" s="40">
        <v>51</v>
      </c>
      <c r="B75" s="183" t="s">
        <v>138</v>
      </c>
      <c r="C75" s="183" t="s">
        <v>486</v>
      </c>
      <c r="D75" s="183" t="s">
        <v>510</v>
      </c>
      <c r="E75" s="179">
        <v>400</v>
      </c>
      <c r="F75" s="183">
        <v>0</v>
      </c>
      <c r="G75" s="183" t="s">
        <v>487</v>
      </c>
      <c r="H75" s="183">
        <v>0</v>
      </c>
      <c r="I75" s="37" t="s">
        <v>487</v>
      </c>
    </row>
    <row r="76" spans="1:9" ht="14.25" customHeight="1" x14ac:dyDescent="0.3">
      <c r="A76" s="40">
        <v>52</v>
      </c>
      <c r="B76" s="183" t="s">
        <v>138</v>
      </c>
      <c r="C76" s="183" t="s">
        <v>490</v>
      </c>
      <c r="D76" s="183" t="s">
        <v>510</v>
      </c>
      <c r="E76" s="179">
        <v>400</v>
      </c>
      <c r="F76" s="183">
        <v>0</v>
      </c>
      <c r="G76" s="183" t="s">
        <v>487</v>
      </c>
      <c r="H76" s="183">
        <v>0</v>
      </c>
      <c r="I76" s="37" t="s">
        <v>487</v>
      </c>
    </row>
    <row r="77" spans="1:9" ht="14.25" customHeight="1" x14ac:dyDescent="0.3">
      <c r="A77" s="40">
        <v>53</v>
      </c>
      <c r="B77" s="183" t="s">
        <v>138</v>
      </c>
      <c r="C77" s="183" t="s">
        <v>431</v>
      </c>
      <c r="D77" s="183" t="s">
        <v>510</v>
      </c>
      <c r="E77" s="179">
        <v>400</v>
      </c>
      <c r="F77" s="183">
        <v>0</v>
      </c>
      <c r="G77" s="183" t="s">
        <v>487</v>
      </c>
      <c r="H77" s="183">
        <v>0</v>
      </c>
      <c r="I77" s="37" t="s">
        <v>487</v>
      </c>
    </row>
    <row r="78" spans="1:9" ht="14.25" customHeight="1" x14ac:dyDescent="0.3">
      <c r="A78" s="40">
        <v>54</v>
      </c>
      <c r="B78" s="183" t="s">
        <v>138</v>
      </c>
      <c r="C78" s="183" t="s">
        <v>160</v>
      </c>
      <c r="D78" s="183" t="s">
        <v>510</v>
      </c>
      <c r="E78" s="179">
        <v>400</v>
      </c>
      <c r="F78" s="183">
        <v>0</v>
      </c>
      <c r="G78" s="183" t="s">
        <v>487</v>
      </c>
      <c r="H78" s="183">
        <v>0</v>
      </c>
      <c r="I78" s="37" t="s">
        <v>487</v>
      </c>
    </row>
    <row r="79" spans="1:9" ht="14.25" customHeight="1" x14ac:dyDescent="0.3">
      <c r="A79" s="40">
        <v>55</v>
      </c>
      <c r="B79" s="183" t="s">
        <v>138</v>
      </c>
      <c r="C79" s="183" t="s">
        <v>495</v>
      </c>
      <c r="D79" s="183" t="s">
        <v>510</v>
      </c>
      <c r="E79" s="179">
        <v>400</v>
      </c>
      <c r="F79" s="183">
        <v>0</v>
      </c>
      <c r="G79" s="183" t="s">
        <v>487</v>
      </c>
      <c r="H79" s="183">
        <v>0</v>
      </c>
      <c r="I79" s="37" t="s">
        <v>487</v>
      </c>
    </row>
    <row r="80" spans="1:9" ht="14.25" customHeight="1" x14ac:dyDescent="0.3">
      <c r="A80" s="40">
        <v>56</v>
      </c>
      <c r="B80" s="183" t="s">
        <v>138</v>
      </c>
      <c r="C80" s="183" t="s">
        <v>496</v>
      </c>
      <c r="D80" s="183" t="s">
        <v>510</v>
      </c>
      <c r="E80" s="183" t="s">
        <v>493</v>
      </c>
      <c r="F80" s="183">
        <v>0</v>
      </c>
      <c r="G80" s="183" t="s">
        <v>487</v>
      </c>
      <c r="H80" s="183">
        <v>0</v>
      </c>
      <c r="I80" s="37" t="s">
        <v>487</v>
      </c>
    </row>
    <row r="81" spans="1:9" ht="14.25" customHeight="1" x14ac:dyDescent="0.3">
      <c r="A81" s="40">
        <v>57</v>
      </c>
      <c r="B81" s="183" t="s">
        <v>155</v>
      </c>
      <c r="C81" s="183" t="s">
        <v>482</v>
      </c>
      <c r="D81" s="183" t="s">
        <v>510</v>
      </c>
      <c r="E81" s="179">
        <v>400</v>
      </c>
      <c r="F81" s="183">
        <v>0</v>
      </c>
      <c r="G81" s="183" t="s">
        <v>487</v>
      </c>
      <c r="H81" s="183">
        <v>0</v>
      </c>
      <c r="I81" s="37" t="s">
        <v>487</v>
      </c>
    </row>
    <row r="82" spans="1:9" ht="14.25" customHeight="1" x14ac:dyDescent="0.3">
      <c r="A82" s="40">
        <v>58</v>
      </c>
      <c r="B82" s="183" t="s">
        <v>155</v>
      </c>
      <c r="C82" s="183" t="s">
        <v>154</v>
      </c>
      <c r="D82" s="183" t="s">
        <v>510</v>
      </c>
      <c r="E82" s="179">
        <v>400</v>
      </c>
      <c r="F82" s="183">
        <v>0</v>
      </c>
      <c r="G82" s="183" t="s">
        <v>487</v>
      </c>
      <c r="H82" s="183">
        <v>0</v>
      </c>
      <c r="I82" s="37" t="s">
        <v>487</v>
      </c>
    </row>
    <row r="83" spans="1:9" ht="14.25" customHeight="1" x14ac:dyDescent="0.3">
      <c r="A83" s="40">
        <v>59</v>
      </c>
      <c r="B83" s="183" t="s">
        <v>155</v>
      </c>
      <c r="C83" s="183" t="s">
        <v>486</v>
      </c>
      <c r="D83" s="183" t="s">
        <v>510</v>
      </c>
      <c r="E83" s="179">
        <v>400</v>
      </c>
      <c r="F83" s="183">
        <v>0</v>
      </c>
      <c r="G83" s="183" t="s">
        <v>487</v>
      </c>
      <c r="H83" s="183">
        <v>0</v>
      </c>
      <c r="I83" s="37" t="s">
        <v>487</v>
      </c>
    </row>
    <row r="84" spans="1:9" ht="14.25" customHeight="1" x14ac:dyDescent="0.3">
      <c r="A84" s="40">
        <v>60</v>
      </c>
      <c r="B84" s="183" t="s">
        <v>155</v>
      </c>
      <c r="C84" s="183" t="s">
        <v>490</v>
      </c>
      <c r="D84" s="183" t="s">
        <v>510</v>
      </c>
      <c r="E84" s="179">
        <v>400</v>
      </c>
      <c r="F84" s="183">
        <v>0</v>
      </c>
      <c r="G84" s="183" t="s">
        <v>487</v>
      </c>
      <c r="H84" s="183">
        <v>0</v>
      </c>
      <c r="I84" s="37" t="s">
        <v>487</v>
      </c>
    </row>
    <row r="85" spans="1:9" ht="14.25" customHeight="1" x14ac:dyDescent="0.3">
      <c r="A85" s="40">
        <v>61</v>
      </c>
      <c r="B85" s="183" t="s">
        <v>155</v>
      </c>
      <c r="C85" s="183" t="s">
        <v>431</v>
      </c>
      <c r="D85" s="183" t="s">
        <v>510</v>
      </c>
      <c r="E85" s="179">
        <v>400</v>
      </c>
      <c r="F85" s="183">
        <v>0</v>
      </c>
      <c r="G85" s="183" t="s">
        <v>487</v>
      </c>
      <c r="H85" s="183">
        <v>0</v>
      </c>
      <c r="I85" s="37" t="s">
        <v>487</v>
      </c>
    </row>
    <row r="86" spans="1:9" ht="14.25" customHeight="1" x14ac:dyDescent="0.3">
      <c r="A86" s="40">
        <v>62</v>
      </c>
      <c r="B86" s="183" t="s">
        <v>155</v>
      </c>
      <c r="C86" s="183" t="s">
        <v>160</v>
      </c>
      <c r="D86" s="183" t="s">
        <v>510</v>
      </c>
      <c r="E86" s="179">
        <v>400</v>
      </c>
      <c r="F86" s="183">
        <v>0</v>
      </c>
      <c r="G86" s="183" t="s">
        <v>487</v>
      </c>
      <c r="H86" s="183">
        <v>0</v>
      </c>
      <c r="I86" s="37" t="s">
        <v>487</v>
      </c>
    </row>
    <row r="87" spans="1:9" ht="14.25" customHeight="1" x14ac:dyDescent="0.3">
      <c r="A87" s="40">
        <v>63</v>
      </c>
      <c r="B87" s="183" t="s">
        <v>155</v>
      </c>
      <c r="C87" s="183" t="s">
        <v>495</v>
      </c>
      <c r="D87" s="183" t="s">
        <v>510</v>
      </c>
      <c r="E87" s="179">
        <v>400</v>
      </c>
      <c r="F87" s="183">
        <v>0</v>
      </c>
      <c r="G87" s="183" t="s">
        <v>487</v>
      </c>
      <c r="H87" s="183">
        <v>0</v>
      </c>
      <c r="I87" s="37" t="s">
        <v>487</v>
      </c>
    </row>
    <row r="88" spans="1:9" ht="14.25" customHeight="1" x14ac:dyDescent="0.3">
      <c r="A88" s="40">
        <v>64</v>
      </c>
      <c r="B88" s="194" t="s">
        <v>155</v>
      </c>
      <c r="C88" s="194" t="s">
        <v>496</v>
      </c>
      <c r="D88" s="194" t="s">
        <v>510</v>
      </c>
      <c r="E88" s="195">
        <v>400</v>
      </c>
      <c r="F88" s="194">
        <v>0</v>
      </c>
      <c r="G88" s="194" t="s">
        <v>487</v>
      </c>
      <c r="H88" s="194">
        <v>0</v>
      </c>
      <c r="I88" s="43" t="s">
        <v>487</v>
      </c>
    </row>
    <row r="89" spans="1:9" ht="14.25" customHeight="1" x14ac:dyDescent="0.3">
      <c r="A89" s="40">
        <v>65</v>
      </c>
      <c r="B89" s="183" t="s">
        <v>155</v>
      </c>
      <c r="C89" s="183" t="s">
        <v>482</v>
      </c>
      <c r="D89" s="183" t="s">
        <v>510</v>
      </c>
      <c r="E89" s="179">
        <v>400</v>
      </c>
      <c r="F89" s="183">
        <v>0</v>
      </c>
      <c r="G89" s="183" t="s">
        <v>487</v>
      </c>
      <c r="H89" s="183">
        <v>0</v>
      </c>
      <c r="I89" s="37" t="s">
        <v>487</v>
      </c>
    </row>
    <row r="90" spans="1:9" ht="14.25" customHeight="1" x14ac:dyDescent="0.3">
      <c r="A90" s="40">
        <v>66</v>
      </c>
      <c r="B90" s="183" t="s">
        <v>155</v>
      </c>
      <c r="C90" s="183" t="s">
        <v>154</v>
      </c>
      <c r="D90" s="183" t="s">
        <v>510</v>
      </c>
      <c r="E90" s="179">
        <v>400</v>
      </c>
      <c r="F90" s="183">
        <v>0</v>
      </c>
      <c r="G90" s="183" t="s">
        <v>487</v>
      </c>
      <c r="H90" s="183">
        <v>0</v>
      </c>
      <c r="I90" s="37" t="s">
        <v>487</v>
      </c>
    </row>
    <row r="91" spans="1:9" ht="14.25" customHeight="1" x14ac:dyDescent="0.3">
      <c r="A91" s="40">
        <v>67</v>
      </c>
      <c r="B91" s="183" t="s">
        <v>155</v>
      </c>
      <c r="C91" s="183" t="s">
        <v>486</v>
      </c>
      <c r="D91" s="183" t="s">
        <v>510</v>
      </c>
      <c r="E91" s="179">
        <v>400</v>
      </c>
      <c r="F91" s="183">
        <v>0</v>
      </c>
      <c r="G91" s="183" t="s">
        <v>487</v>
      </c>
      <c r="H91" s="183">
        <v>0</v>
      </c>
      <c r="I91" s="37" t="s">
        <v>487</v>
      </c>
    </row>
    <row r="92" spans="1:9" ht="14.25" customHeight="1" x14ac:dyDescent="0.3">
      <c r="A92" s="40">
        <v>68</v>
      </c>
      <c r="B92" s="183" t="s">
        <v>155</v>
      </c>
      <c r="C92" s="183" t="s">
        <v>490</v>
      </c>
      <c r="D92" s="183" t="s">
        <v>510</v>
      </c>
      <c r="E92" s="179">
        <v>400</v>
      </c>
      <c r="F92" s="183">
        <v>0</v>
      </c>
      <c r="G92" s="183" t="s">
        <v>487</v>
      </c>
      <c r="H92" s="183">
        <v>0</v>
      </c>
      <c r="I92" s="37" t="s">
        <v>487</v>
      </c>
    </row>
    <row r="93" spans="1:9" ht="14.25" customHeight="1" x14ac:dyDescent="0.3">
      <c r="A93" s="40">
        <v>69</v>
      </c>
      <c r="B93" s="183" t="s">
        <v>155</v>
      </c>
      <c r="C93" s="183" t="s">
        <v>431</v>
      </c>
      <c r="D93" s="183" t="s">
        <v>510</v>
      </c>
      <c r="E93" s="179">
        <v>400</v>
      </c>
      <c r="F93" s="183">
        <v>0</v>
      </c>
      <c r="G93" s="183" t="s">
        <v>487</v>
      </c>
      <c r="H93" s="183">
        <v>0</v>
      </c>
      <c r="I93" s="37" t="s">
        <v>487</v>
      </c>
    </row>
    <row r="94" spans="1:9" ht="14.25" customHeight="1" x14ac:dyDescent="0.3">
      <c r="A94" s="40">
        <v>70</v>
      </c>
      <c r="B94" s="183" t="s">
        <v>155</v>
      </c>
      <c r="C94" s="183" t="s">
        <v>160</v>
      </c>
      <c r="D94" s="183" t="s">
        <v>510</v>
      </c>
      <c r="E94" s="179">
        <v>400</v>
      </c>
      <c r="F94" s="183">
        <v>0</v>
      </c>
      <c r="G94" s="183" t="s">
        <v>487</v>
      </c>
      <c r="H94" s="183">
        <v>0</v>
      </c>
      <c r="I94" s="37" t="s">
        <v>487</v>
      </c>
    </row>
    <row r="95" spans="1:9" ht="14.25" customHeight="1" x14ac:dyDescent="0.3">
      <c r="A95" s="40">
        <v>71</v>
      </c>
      <c r="B95" s="183" t="s">
        <v>155</v>
      </c>
      <c r="C95" s="183" t="s">
        <v>495</v>
      </c>
      <c r="D95" s="183" t="s">
        <v>510</v>
      </c>
      <c r="E95" s="179">
        <v>400</v>
      </c>
      <c r="F95" s="183">
        <v>0</v>
      </c>
      <c r="G95" s="183" t="s">
        <v>487</v>
      </c>
      <c r="H95" s="183">
        <v>0</v>
      </c>
      <c r="I95" s="37" t="s">
        <v>487</v>
      </c>
    </row>
    <row r="96" spans="1:9" ht="14.25" customHeight="1" x14ac:dyDescent="0.3">
      <c r="A96" s="40">
        <v>72</v>
      </c>
      <c r="B96" s="194" t="s">
        <v>155</v>
      </c>
      <c r="C96" s="194" t="s">
        <v>496</v>
      </c>
      <c r="D96" s="194" t="s">
        <v>510</v>
      </c>
      <c r="E96" s="195">
        <v>400</v>
      </c>
      <c r="F96" s="194">
        <v>0</v>
      </c>
      <c r="G96" s="194" t="s">
        <v>487</v>
      </c>
      <c r="H96" s="194">
        <v>0</v>
      </c>
      <c r="I96" s="43" t="s">
        <v>487</v>
      </c>
    </row>
    <row r="97" spans="1:9" ht="14.25" customHeight="1" x14ac:dyDescent="0.3">
      <c r="A97" s="40">
        <v>73</v>
      </c>
      <c r="B97" s="193" t="s">
        <v>509</v>
      </c>
      <c r="C97" s="193" t="s">
        <v>482</v>
      </c>
      <c r="D97" s="183" t="s">
        <v>510</v>
      </c>
      <c r="E97" s="193" t="s">
        <v>487</v>
      </c>
      <c r="F97" s="193">
        <v>0</v>
      </c>
      <c r="G97" s="193" t="s">
        <v>487</v>
      </c>
      <c r="H97" s="193">
        <v>0</v>
      </c>
      <c r="I97" s="33" t="s">
        <v>483</v>
      </c>
    </row>
    <row r="98" spans="1:9" ht="14.25" customHeight="1" x14ac:dyDescent="0.3">
      <c r="A98" s="40">
        <v>74</v>
      </c>
      <c r="B98" s="183" t="s">
        <v>509</v>
      </c>
      <c r="C98" s="183" t="s">
        <v>154</v>
      </c>
      <c r="D98" s="183" t="s">
        <v>510</v>
      </c>
      <c r="E98" s="183" t="s">
        <v>487</v>
      </c>
      <c r="F98" s="183">
        <v>0</v>
      </c>
      <c r="G98" s="183" t="s">
        <v>487</v>
      </c>
      <c r="H98" s="183">
        <v>0</v>
      </c>
      <c r="I98" s="180" t="s">
        <v>483</v>
      </c>
    </row>
    <row r="99" spans="1:9" ht="14.25" customHeight="1" x14ac:dyDescent="0.3">
      <c r="A99" s="40">
        <v>75</v>
      </c>
      <c r="B99" s="183" t="s">
        <v>509</v>
      </c>
      <c r="C99" s="183" t="s">
        <v>486</v>
      </c>
      <c r="D99" s="183" t="s">
        <v>510</v>
      </c>
      <c r="E99" s="183" t="s">
        <v>487</v>
      </c>
      <c r="F99" s="183">
        <v>0</v>
      </c>
      <c r="G99" s="183" t="s">
        <v>487</v>
      </c>
      <c r="H99" s="183">
        <v>0</v>
      </c>
      <c r="I99" s="180" t="s">
        <v>483</v>
      </c>
    </row>
    <row r="100" spans="1:9" ht="14.25" customHeight="1" x14ac:dyDescent="0.3">
      <c r="A100" s="40">
        <v>76</v>
      </c>
      <c r="B100" s="183" t="s">
        <v>509</v>
      </c>
      <c r="C100" s="183" t="s">
        <v>490</v>
      </c>
      <c r="D100" s="183" t="s">
        <v>510</v>
      </c>
      <c r="E100" s="183" t="s">
        <v>487</v>
      </c>
      <c r="F100" s="183">
        <v>0</v>
      </c>
      <c r="G100" s="183" t="s">
        <v>487</v>
      </c>
      <c r="H100" s="183">
        <v>0</v>
      </c>
      <c r="I100" s="180" t="s">
        <v>483</v>
      </c>
    </row>
    <row r="101" spans="1:9" ht="14.25" customHeight="1" x14ac:dyDescent="0.3">
      <c r="A101" s="40">
        <v>77</v>
      </c>
      <c r="B101" s="183" t="s">
        <v>509</v>
      </c>
      <c r="C101" s="183" t="s">
        <v>431</v>
      </c>
      <c r="D101" s="183" t="s">
        <v>510</v>
      </c>
      <c r="E101" s="183" t="s">
        <v>487</v>
      </c>
      <c r="F101" s="183">
        <v>0</v>
      </c>
      <c r="G101" s="183" t="s">
        <v>487</v>
      </c>
      <c r="H101" s="183">
        <v>0</v>
      </c>
      <c r="I101" s="180" t="s">
        <v>483</v>
      </c>
    </row>
    <row r="102" spans="1:9" ht="14.25" customHeight="1" x14ac:dyDescent="0.3">
      <c r="A102" s="40">
        <v>78</v>
      </c>
      <c r="B102" s="183" t="s">
        <v>509</v>
      </c>
      <c r="C102" s="183" t="s">
        <v>160</v>
      </c>
      <c r="D102" s="183" t="s">
        <v>510</v>
      </c>
      <c r="E102" s="183" t="s">
        <v>487</v>
      </c>
      <c r="F102" s="183">
        <v>0</v>
      </c>
      <c r="G102" s="183" t="s">
        <v>487</v>
      </c>
      <c r="H102" s="183">
        <v>0</v>
      </c>
      <c r="I102" s="180" t="s">
        <v>483</v>
      </c>
    </row>
    <row r="103" spans="1:9" ht="14.25" customHeight="1" x14ac:dyDescent="0.3">
      <c r="A103" s="40">
        <v>79</v>
      </c>
      <c r="B103" s="183" t="s">
        <v>509</v>
      </c>
      <c r="C103" s="183" t="s">
        <v>495</v>
      </c>
      <c r="D103" s="183" t="s">
        <v>510</v>
      </c>
      <c r="E103" s="183" t="s">
        <v>487</v>
      </c>
      <c r="F103" s="183">
        <v>0</v>
      </c>
      <c r="G103" s="183" t="s">
        <v>487</v>
      </c>
      <c r="H103" s="183">
        <v>0</v>
      </c>
      <c r="I103" s="180" t="s">
        <v>483</v>
      </c>
    </row>
    <row r="104" spans="1:9" ht="14.25" customHeight="1" x14ac:dyDescent="0.3">
      <c r="A104" s="40">
        <v>80</v>
      </c>
      <c r="B104" s="194" t="s">
        <v>509</v>
      </c>
      <c r="C104" s="194" t="s">
        <v>496</v>
      </c>
      <c r="D104" s="183" t="s">
        <v>510</v>
      </c>
      <c r="E104" s="194" t="s">
        <v>487</v>
      </c>
      <c r="F104" s="194">
        <v>0</v>
      </c>
      <c r="G104" s="194" t="s">
        <v>487</v>
      </c>
      <c r="H104" s="194">
        <v>0</v>
      </c>
      <c r="I104" s="188" t="s">
        <v>483</v>
      </c>
    </row>
    <row r="105" spans="1:9" ht="14.25" customHeight="1" x14ac:dyDescent="0.3"/>
    <row r="106" spans="1:9" ht="14.25" customHeight="1" x14ac:dyDescent="0.3"/>
    <row r="107" spans="1:9" ht="14.25" customHeight="1" x14ac:dyDescent="0.3"/>
    <row r="108" spans="1:9" ht="14.25" customHeight="1" x14ac:dyDescent="0.3"/>
    <row r="109" spans="1:9" ht="14.25" customHeight="1" x14ac:dyDescent="0.3"/>
    <row r="110" spans="1:9" ht="14.25" customHeight="1" x14ac:dyDescent="0.3"/>
    <row r="111" spans="1:9" ht="14.25" customHeight="1" x14ac:dyDescent="0.3"/>
    <row r="112" spans="1:9"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2">
    <dataValidation type="list" allowBlank="1" showErrorMessage="1" sqref="H3" xr:uid="{00000000-0002-0000-1A00-000000000000}">
      <formula1>$C$3:$F$3</formula1>
    </dataValidation>
    <dataValidation type="list" allowBlank="1" showErrorMessage="1" sqref="H2" xr:uid="{00000000-0002-0000-1A00-000001000000}">
      <formula1>$B$4:$B$10</formula1>
    </dataValidation>
  </dataValidation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4"/>
  <dimension ref="A1:I1000"/>
  <sheetViews>
    <sheetView workbookViewId="0"/>
  </sheetViews>
  <sheetFormatPr baseColWidth="10" defaultColWidth="14.44140625" defaultRowHeight="15" customHeight="1" x14ac:dyDescent="0.3"/>
  <cols>
    <col min="1" max="1" width="62.33203125" customWidth="1"/>
    <col min="2" max="3" width="18.6640625" customWidth="1"/>
    <col min="4" max="4" width="20.6640625" customWidth="1"/>
    <col min="5" max="5" width="17.44140625" customWidth="1"/>
    <col min="6" max="6" width="20.88671875" customWidth="1"/>
    <col min="7" max="7" width="175.88671875" customWidth="1"/>
    <col min="8" max="8" width="26.33203125" customWidth="1"/>
    <col min="9" max="9" width="27.33203125" customWidth="1"/>
  </cols>
  <sheetData>
    <row r="1" spans="1:9" ht="14.25" customHeight="1" x14ac:dyDescent="0.3">
      <c r="A1" s="25" t="s">
        <v>511</v>
      </c>
    </row>
    <row r="2" spans="1:9" ht="14.25" customHeight="1" x14ac:dyDescent="0.3">
      <c r="A2" s="196"/>
      <c r="B2" s="197" t="s">
        <v>512</v>
      </c>
      <c r="C2" s="197"/>
      <c r="D2" s="197" t="s">
        <v>513</v>
      </c>
      <c r="E2" s="197"/>
      <c r="F2" s="197" t="s">
        <v>514</v>
      </c>
      <c r="G2" s="197"/>
      <c r="H2" s="197" t="s">
        <v>515</v>
      </c>
      <c r="I2" s="198"/>
    </row>
    <row r="3" spans="1:9" ht="25.5" customHeight="1" x14ac:dyDescent="0.3">
      <c r="A3" s="199" t="s">
        <v>516</v>
      </c>
      <c r="B3" s="200" t="s">
        <v>517</v>
      </c>
      <c r="C3" s="200" t="s">
        <v>518</v>
      </c>
      <c r="D3" s="200" t="s">
        <v>519</v>
      </c>
      <c r="E3" s="200" t="s">
        <v>520</v>
      </c>
      <c r="F3" s="200" t="s">
        <v>521</v>
      </c>
      <c r="G3" s="200" t="s">
        <v>522</v>
      </c>
      <c r="H3" s="200" t="s">
        <v>523</v>
      </c>
      <c r="I3" s="201" t="s">
        <v>524</v>
      </c>
    </row>
    <row r="4" spans="1:9" ht="14.25" customHeight="1" x14ac:dyDescent="0.3">
      <c r="A4" s="202" t="s">
        <v>525</v>
      </c>
      <c r="B4" s="203" t="s">
        <v>526</v>
      </c>
      <c r="C4" s="203" t="s">
        <v>142</v>
      </c>
      <c r="D4" s="203" t="s">
        <v>526</v>
      </c>
      <c r="E4" s="203" t="s">
        <v>142</v>
      </c>
      <c r="F4" s="203" t="s">
        <v>142</v>
      </c>
      <c r="G4" s="203" t="s">
        <v>156</v>
      </c>
      <c r="H4" s="203" t="s">
        <v>156</v>
      </c>
      <c r="I4" s="204" t="s">
        <v>157</v>
      </c>
    </row>
    <row r="5" spans="1:9" ht="14.25" customHeight="1" x14ac:dyDescent="0.3">
      <c r="A5" s="202" t="s">
        <v>527</v>
      </c>
      <c r="B5" s="203" t="s">
        <v>528</v>
      </c>
      <c r="C5" s="203" t="s">
        <v>526</v>
      </c>
      <c r="D5" s="203" t="s">
        <v>148</v>
      </c>
      <c r="E5" s="203" t="s">
        <v>526</v>
      </c>
      <c r="F5" s="203" t="s">
        <v>526</v>
      </c>
      <c r="G5" s="203" t="s">
        <v>142</v>
      </c>
      <c r="H5" s="203" t="s">
        <v>142</v>
      </c>
      <c r="I5" s="204" t="s">
        <v>156</v>
      </c>
    </row>
    <row r="6" spans="1:9" ht="14.25" customHeight="1" x14ac:dyDescent="0.3">
      <c r="A6" s="205" t="s">
        <v>529</v>
      </c>
      <c r="B6" s="206" t="s">
        <v>530</v>
      </c>
      <c r="C6" s="206" t="s">
        <v>531</v>
      </c>
      <c r="D6" s="206" t="s">
        <v>532</v>
      </c>
      <c r="E6" s="206" t="s">
        <v>148</v>
      </c>
      <c r="F6" s="206" t="s">
        <v>148</v>
      </c>
      <c r="G6" s="206" t="s">
        <v>526</v>
      </c>
      <c r="H6" s="206" t="s">
        <v>526</v>
      </c>
      <c r="I6" s="207" t="s">
        <v>142</v>
      </c>
    </row>
    <row r="7" spans="1:9" ht="14.25" customHeight="1" x14ac:dyDescent="0.3"/>
    <row r="8" spans="1:9" ht="14.25" customHeight="1" x14ac:dyDescent="0.3"/>
    <row r="9" spans="1:9" ht="14.25" customHeight="1" x14ac:dyDescent="0.3">
      <c r="A9" s="208" t="s">
        <v>473</v>
      </c>
      <c r="B9" s="209" t="s">
        <v>474</v>
      </c>
      <c r="C9" s="209" t="s">
        <v>476</v>
      </c>
      <c r="D9" s="209" t="s">
        <v>475</v>
      </c>
      <c r="E9" s="210" t="s">
        <v>533</v>
      </c>
      <c r="F9" s="210" t="s">
        <v>534</v>
      </c>
      <c r="G9" s="210" t="s">
        <v>535</v>
      </c>
      <c r="H9" s="210" t="s">
        <v>536</v>
      </c>
      <c r="I9" s="210" t="s">
        <v>40</v>
      </c>
    </row>
    <row r="10" spans="1:9" ht="14.25" customHeight="1" x14ac:dyDescent="0.3">
      <c r="A10" s="192">
        <v>1</v>
      </c>
      <c r="B10" s="193" t="s">
        <v>481</v>
      </c>
      <c r="C10" s="183" t="s">
        <v>510</v>
      </c>
      <c r="D10" s="193" t="s">
        <v>482</v>
      </c>
      <c r="E10" s="193" t="s">
        <v>526</v>
      </c>
      <c r="F10" s="193" t="s">
        <v>156</v>
      </c>
      <c r="G10" s="193" t="s">
        <v>157</v>
      </c>
      <c r="H10" s="193" t="s">
        <v>526</v>
      </c>
      <c r="I10" s="33" t="s">
        <v>156</v>
      </c>
    </row>
    <row r="11" spans="1:9" ht="14.25" customHeight="1" x14ac:dyDescent="0.3">
      <c r="A11" s="40">
        <v>2</v>
      </c>
      <c r="B11" s="183" t="s">
        <v>481</v>
      </c>
      <c r="C11" s="183" t="s">
        <v>510</v>
      </c>
      <c r="D11" s="183" t="s">
        <v>154</v>
      </c>
      <c r="E11" s="183" t="s">
        <v>526</v>
      </c>
      <c r="F11" s="183" t="s">
        <v>156</v>
      </c>
      <c r="G11" s="183" t="s">
        <v>157</v>
      </c>
      <c r="H11" s="183" t="s">
        <v>526</v>
      </c>
      <c r="I11" s="37" t="s">
        <v>156</v>
      </c>
    </row>
    <row r="12" spans="1:9" ht="14.25" customHeight="1" x14ac:dyDescent="0.3">
      <c r="A12" s="40">
        <v>3</v>
      </c>
      <c r="B12" s="183" t="s">
        <v>481</v>
      </c>
      <c r="C12" s="183" t="s">
        <v>510</v>
      </c>
      <c r="D12" s="183" t="s">
        <v>486</v>
      </c>
      <c r="E12" s="183" t="s">
        <v>493</v>
      </c>
      <c r="F12" s="183" t="s">
        <v>493</v>
      </c>
      <c r="G12" s="183" t="s">
        <v>493</v>
      </c>
      <c r="H12" s="183" t="s">
        <v>493</v>
      </c>
      <c r="I12" s="37" t="s">
        <v>493</v>
      </c>
    </row>
    <row r="13" spans="1:9" ht="14.25" customHeight="1" x14ac:dyDescent="0.3">
      <c r="A13" s="40">
        <v>4</v>
      </c>
      <c r="B13" s="183" t="s">
        <v>481</v>
      </c>
      <c r="C13" s="183" t="s">
        <v>510</v>
      </c>
      <c r="D13" s="183" t="s">
        <v>490</v>
      </c>
      <c r="E13" s="183" t="s">
        <v>493</v>
      </c>
      <c r="F13" s="183" t="s">
        <v>493</v>
      </c>
      <c r="G13" s="183" t="s">
        <v>493</v>
      </c>
      <c r="H13" s="183" t="s">
        <v>493</v>
      </c>
      <c r="I13" s="37" t="s">
        <v>493</v>
      </c>
    </row>
    <row r="14" spans="1:9" ht="14.25" customHeight="1" x14ac:dyDescent="0.3">
      <c r="A14" s="40">
        <v>5</v>
      </c>
      <c r="B14" s="183" t="s">
        <v>481</v>
      </c>
      <c r="C14" s="183" t="s">
        <v>510</v>
      </c>
      <c r="D14" s="183" t="s">
        <v>431</v>
      </c>
      <c r="E14" s="183" t="s">
        <v>493</v>
      </c>
      <c r="F14" s="183" t="s">
        <v>493</v>
      </c>
      <c r="G14" s="183" t="s">
        <v>493</v>
      </c>
      <c r="H14" s="183" t="s">
        <v>493</v>
      </c>
      <c r="I14" s="37" t="s">
        <v>493</v>
      </c>
    </row>
    <row r="15" spans="1:9" ht="14.25" customHeight="1" x14ac:dyDescent="0.3">
      <c r="A15" s="40">
        <v>6</v>
      </c>
      <c r="B15" s="183" t="s">
        <v>481</v>
      </c>
      <c r="C15" s="183" t="s">
        <v>510</v>
      </c>
      <c r="D15" s="183" t="s">
        <v>160</v>
      </c>
      <c r="E15" s="183" t="s">
        <v>493</v>
      </c>
      <c r="F15" s="183" t="s">
        <v>493</v>
      </c>
      <c r="G15" s="183" t="s">
        <v>493</v>
      </c>
      <c r="H15" s="183" t="s">
        <v>493</v>
      </c>
      <c r="I15" s="37" t="s">
        <v>493</v>
      </c>
    </row>
    <row r="16" spans="1:9" ht="14.25" customHeight="1" x14ac:dyDescent="0.3">
      <c r="A16" s="40">
        <v>7</v>
      </c>
      <c r="B16" s="183" t="s">
        <v>481</v>
      </c>
      <c r="C16" s="183" t="s">
        <v>510</v>
      </c>
      <c r="D16" s="183" t="s">
        <v>495</v>
      </c>
      <c r="E16" s="183" t="s">
        <v>493</v>
      </c>
      <c r="F16" s="183" t="s">
        <v>493</v>
      </c>
      <c r="G16" s="183" t="s">
        <v>493</v>
      </c>
      <c r="H16" s="183" t="s">
        <v>493</v>
      </c>
      <c r="I16" s="37" t="s">
        <v>493</v>
      </c>
    </row>
    <row r="17" spans="1:9" ht="14.25" customHeight="1" x14ac:dyDescent="0.3">
      <c r="A17" s="40">
        <v>8</v>
      </c>
      <c r="B17" s="183" t="s">
        <v>481</v>
      </c>
      <c r="C17" s="183" t="s">
        <v>510</v>
      </c>
      <c r="D17" s="183" t="s">
        <v>496</v>
      </c>
      <c r="E17" s="183" t="s">
        <v>493</v>
      </c>
      <c r="F17" s="183" t="s">
        <v>493</v>
      </c>
      <c r="G17" s="183" t="s">
        <v>493</v>
      </c>
      <c r="H17" s="183" t="s">
        <v>493</v>
      </c>
      <c r="I17" s="37" t="s">
        <v>493</v>
      </c>
    </row>
    <row r="18" spans="1:9" ht="14.25" customHeight="1" x14ac:dyDescent="0.3">
      <c r="A18" s="40">
        <v>9</v>
      </c>
      <c r="B18" s="183" t="s">
        <v>497</v>
      </c>
      <c r="C18" s="183" t="s">
        <v>510</v>
      </c>
      <c r="D18" s="183" t="s">
        <v>482</v>
      </c>
      <c r="E18" s="183" t="s">
        <v>526</v>
      </c>
      <c r="F18" s="183" t="s">
        <v>156</v>
      </c>
      <c r="G18" s="183" t="s">
        <v>157</v>
      </c>
      <c r="H18" s="183" t="s">
        <v>526</v>
      </c>
      <c r="I18" s="37" t="s">
        <v>156</v>
      </c>
    </row>
    <row r="19" spans="1:9" ht="14.25" customHeight="1" x14ac:dyDescent="0.3">
      <c r="A19" s="40">
        <v>10</v>
      </c>
      <c r="B19" s="183" t="s">
        <v>497</v>
      </c>
      <c r="C19" s="183" t="s">
        <v>510</v>
      </c>
      <c r="D19" s="183" t="s">
        <v>154</v>
      </c>
      <c r="E19" s="183" t="s">
        <v>526</v>
      </c>
      <c r="F19" s="183" t="s">
        <v>156</v>
      </c>
      <c r="G19" s="183" t="s">
        <v>157</v>
      </c>
      <c r="H19" s="183" t="s">
        <v>526</v>
      </c>
      <c r="I19" s="37" t="s">
        <v>156</v>
      </c>
    </row>
    <row r="20" spans="1:9" ht="14.25" customHeight="1" x14ac:dyDescent="0.3">
      <c r="A20" s="40">
        <v>11</v>
      </c>
      <c r="B20" s="183" t="s">
        <v>497</v>
      </c>
      <c r="C20" s="183" t="s">
        <v>510</v>
      </c>
      <c r="D20" s="183" t="s">
        <v>486</v>
      </c>
      <c r="E20" s="183" t="s">
        <v>148</v>
      </c>
      <c r="F20" s="183" t="s">
        <v>142</v>
      </c>
      <c r="G20" s="183" t="s">
        <v>143</v>
      </c>
      <c r="H20" s="183" t="s">
        <v>148</v>
      </c>
      <c r="I20" s="37" t="s">
        <v>142</v>
      </c>
    </row>
    <row r="21" spans="1:9" ht="14.25" customHeight="1" x14ac:dyDescent="0.3">
      <c r="A21" s="40">
        <v>12</v>
      </c>
      <c r="B21" s="183" t="s">
        <v>497</v>
      </c>
      <c r="C21" s="183" t="s">
        <v>510</v>
      </c>
      <c r="D21" s="183" t="s">
        <v>490</v>
      </c>
      <c r="E21" s="183" t="s">
        <v>148</v>
      </c>
      <c r="F21" s="183" t="s">
        <v>142</v>
      </c>
      <c r="G21" s="183" t="s">
        <v>143</v>
      </c>
      <c r="H21" s="183" t="s">
        <v>148</v>
      </c>
      <c r="I21" s="37" t="s">
        <v>142</v>
      </c>
    </row>
    <row r="22" spans="1:9" ht="14.25" customHeight="1" x14ac:dyDescent="0.3">
      <c r="A22" s="40">
        <v>13</v>
      </c>
      <c r="B22" s="183" t="s">
        <v>497</v>
      </c>
      <c r="C22" s="183" t="s">
        <v>510</v>
      </c>
      <c r="D22" s="183" t="s">
        <v>431</v>
      </c>
      <c r="E22" s="183" t="s">
        <v>148</v>
      </c>
      <c r="F22" s="183" t="s">
        <v>142</v>
      </c>
      <c r="G22" s="183" t="s">
        <v>143</v>
      </c>
      <c r="H22" s="183" t="s">
        <v>148</v>
      </c>
      <c r="I22" s="37" t="s">
        <v>142</v>
      </c>
    </row>
    <row r="23" spans="1:9" ht="14.25" customHeight="1" x14ac:dyDescent="0.3">
      <c r="A23" s="40">
        <v>14</v>
      </c>
      <c r="B23" s="183" t="s">
        <v>497</v>
      </c>
      <c r="C23" s="183" t="s">
        <v>510</v>
      </c>
      <c r="D23" s="183" t="s">
        <v>160</v>
      </c>
      <c r="E23" s="183" t="s">
        <v>493</v>
      </c>
      <c r="F23" s="183" t="s">
        <v>493</v>
      </c>
      <c r="G23" s="183" t="s">
        <v>493</v>
      </c>
      <c r="H23" s="183" t="s">
        <v>493</v>
      </c>
      <c r="I23" s="37" t="s">
        <v>493</v>
      </c>
    </row>
    <row r="24" spans="1:9" ht="14.25" customHeight="1" x14ac:dyDescent="0.3">
      <c r="A24" s="40">
        <v>15</v>
      </c>
      <c r="B24" s="183" t="s">
        <v>497</v>
      </c>
      <c r="C24" s="183" t="s">
        <v>510</v>
      </c>
      <c r="D24" s="183" t="s">
        <v>495</v>
      </c>
      <c r="E24" s="183" t="s">
        <v>493</v>
      </c>
      <c r="F24" s="183" t="s">
        <v>493</v>
      </c>
      <c r="G24" s="183" t="s">
        <v>493</v>
      </c>
      <c r="H24" s="183" t="s">
        <v>493</v>
      </c>
      <c r="I24" s="37" t="s">
        <v>493</v>
      </c>
    </row>
    <row r="25" spans="1:9" ht="14.25" customHeight="1" x14ac:dyDescent="0.3">
      <c r="A25" s="40">
        <v>16</v>
      </c>
      <c r="B25" s="183" t="s">
        <v>497</v>
      </c>
      <c r="C25" s="183" t="s">
        <v>510</v>
      </c>
      <c r="D25" s="183" t="s">
        <v>496</v>
      </c>
      <c r="E25" s="183" t="s">
        <v>493</v>
      </c>
      <c r="F25" s="183" t="s">
        <v>493</v>
      </c>
      <c r="G25" s="183" t="s">
        <v>493</v>
      </c>
      <c r="H25" s="183" t="s">
        <v>493</v>
      </c>
      <c r="I25" s="37" t="s">
        <v>493</v>
      </c>
    </row>
    <row r="26" spans="1:9" ht="14.25" customHeight="1" x14ac:dyDescent="0.3">
      <c r="A26" s="40">
        <v>17</v>
      </c>
      <c r="B26" s="183" t="s">
        <v>138</v>
      </c>
      <c r="C26" s="183" t="s">
        <v>510</v>
      </c>
      <c r="D26" s="183" t="s">
        <v>482</v>
      </c>
      <c r="E26" s="183" t="s">
        <v>142</v>
      </c>
      <c r="F26" s="183" t="s">
        <v>143</v>
      </c>
      <c r="G26" s="183" t="s">
        <v>144</v>
      </c>
      <c r="H26" s="183" t="s">
        <v>142</v>
      </c>
      <c r="I26" s="37" t="s">
        <v>143</v>
      </c>
    </row>
    <row r="27" spans="1:9" ht="14.25" customHeight="1" x14ac:dyDescent="0.3">
      <c r="A27" s="40">
        <v>18</v>
      </c>
      <c r="B27" s="183" t="s">
        <v>138</v>
      </c>
      <c r="C27" s="183" t="s">
        <v>510</v>
      </c>
      <c r="D27" s="183" t="s">
        <v>154</v>
      </c>
      <c r="E27" s="183" t="s">
        <v>142</v>
      </c>
      <c r="F27" s="183" t="s">
        <v>143</v>
      </c>
      <c r="G27" s="183" t="s">
        <v>144</v>
      </c>
      <c r="H27" s="183" t="s">
        <v>142</v>
      </c>
      <c r="I27" s="37" t="s">
        <v>143</v>
      </c>
    </row>
    <row r="28" spans="1:9" ht="14.25" customHeight="1" x14ac:dyDescent="0.3">
      <c r="A28" s="40">
        <v>19</v>
      </c>
      <c r="B28" s="183" t="s">
        <v>138</v>
      </c>
      <c r="C28" s="183" t="s">
        <v>510</v>
      </c>
      <c r="D28" s="183" t="s">
        <v>486</v>
      </c>
      <c r="E28" s="183" t="s">
        <v>526</v>
      </c>
      <c r="F28" s="183" t="s">
        <v>156</v>
      </c>
      <c r="G28" s="183" t="s">
        <v>157</v>
      </c>
      <c r="H28" s="183" t="s">
        <v>526</v>
      </c>
      <c r="I28" s="37" t="s">
        <v>156</v>
      </c>
    </row>
    <row r="29" spans="1:9" ht="14.25" customHeight="1" x14ac:dyDescent="0.3">
      <c r="A29" s="40">
        <v>20</v>
      </c>
      <c r="B29" s="183" t="s">
        <v>138</v>
      </c>
      <c r="C29" s="183" t="s">
        <v>510</v>
      </c>
      <c r="D29" s="183" t="s">
        <v>490</v>
      </c>
      <c r="E29" s="183" t="s">
        <v>526</v>
      </c>
      <c r="F29" s="183" t="s">
        <v>156</v>
      </c>
      <c r="G29" s="183" t="s">
        <v>157</v>
      </c>
      <c r="H29" s="183" t="s">
        <v>526</v>
      </c>
      <c r="I29" s="37" t="s">
        <v>156</v>
      </c>
    </row>
    <row r="30" spans="1:9" ht="14.25" customHeight="1" x14ac:dyDescent="0.3">
      <c r="A30" s="40">
        <v>21</v>
      </c>
      <c r="B30" s="183" t="s">
        <v>138</v>
      </c>
      <c r="C30" s="183" t="s">
        <v>510</v>
      </c>
      <c r="D30" s="183" t="s">
        <v>431</v>
      </c>
      <c r="E30" s="183" t="s">
        <v>526</v>
      </c>
      <c r="F30" s="183" t="s">
        <v>156</v>
      </c>
      <c r="G30" s="183" t="s">
        <v>157</v>
      </c>
      <c r="H30" s="183" t="s">
        <v>526</v>
      </c>
      <c r="I30" s="37" t="s">
        <v>156</v>
      </c>
    </row>
    <row r="31" spans="1:9" ht="14.25" customHeight="1" x14ac:dyDescent="0.3">
      <c r="A31" s="40">
        <v>22</v>
      </c>
      <c r="B31" s="183" t="s">
        <v>138</v>
      </c>
      <c r="C31" s="183" t="s">
        <v>510</v>
      </c>
      <c r="D31" s="183" t="s">
        <v>160</v>
      </c>
      <c r="E31" s="183" t="s">
        <v>148</v>
      </c>
      <c r="F31" s="183" t="s">
        <v>142</v>
      </c>
      <c r="G31" s="183" t="s">
        <v>143</v>
      </c>
      <c r="H31" s="183" t="s">
        <v>148</v>
      </c>
      <c r="I31" s="37" t="s">
        <v>142</v>
      </c>
    </row>
    <row r="32" spans="1:9" ht="14.25" customHeight="1" x14ac:dyDescent="0.3">
      <c r="A32" s="40">
        <v>23</v>
      </c>
      <c r="B32" s="183" t="s">
        <v>138</v>
      </c>
      <c r="C32" s="183" t="s">
        <v>510</v>
      </c>
      <c r="D32" s="183" t="s">
        <v>495</v>
      </c>
      <c r="E32" s="183" t="s">
        <v>148</v>
      </c>
      <c r="F32" s="183" t="s">
        <v>142</v>
      </c>
      <c r="G32" s="183" t="s">
        <v>143</v>
      </c>
      <c r="H32" s="183" t="s">
        <v>148</v>
      </c>
      <c r="I32" s="37" t="s">
        <v>142</v>
      </c>
    </row>
    <row r="33" spans="1:9" ht="14.25" customHeight="1" x14ac:dyDescent="0.3">
      <c r="A33" s="40">
        <v>24</v>
      </c>
      <c r="B33" s="183" t="s">
        <v>138</v>
      </c>
      <c r="C33" s="183" t="s">
        <v>510</v>
      </c>
      <c r="D33" s="183" t="s">
        <v>496</v>
      </c>
      <c r="E33" s="183" t="s">
        <v>148</v>
      </c>
      <c r="F33" s="183" t="s">
        <v>142</v>
      </c>
      <c r="G33" s="183" t="s">
        <v>143</v>
      </c>
      <c r="H33" s="183" t="s">
        <v>148</v>
      </c>
      <c r="I33" s="37" t="s">
        <v>142</v>
      </c>
    </row>
    <row r="34" spans="1:9" ht="14.25" customHeight="1" x14ac:dyDescent="0.3">
      <c r="A34" s="40">
        <v>25</v>
      </c>
      <c r="B34" s="183" t="s">
        <v>155</v>
      </c>
      <c r="C34" s="183" t="s">
        <v>510</v>
      </c>
      <c r="D34" s="183" t="s">
        <v>482</v>
      </c>
      <c r="E34" s="183" t="s">
        <v>156</v>
      </c>
      <c r="F34" s="183" t="s">
        <v>157</v>
      </c>
      <c r="G34" s="183" t="s">
        <v>158</v>
      </c>
      <c r="H34" s="183" t="s">
        <v>156</v>
      </c>
      <c r="I34" s="37" t="s">
        <v>157</v>
      </c>
    </row>
    <row r="35" spans="1:9" ht="14.25" customHeight="1" x14ac:dyDescent="0.3">
      <c r="A35" s="40">
        <v>26</v>
      </c>
      <c r="B35" s="183" t="s">
        <v>155</v>
      </c>
      <c r="C35" s="183" t="s">
        <v>510</v>
      </c>
      <c r="D35" s="183" t="s">
        <v>154</v>
      </c>
      <c r="E35" s="183" t="s">
        <v>156</v>
      </c>
      <c r="F35" s="183" t="s">
        <v>157</v>
      </c>
      <c r="G35" s="183" t="s">
        <v>158</v>
      </c>
      <c r="H35" s="183" t="s">
        <v>156</v>
      </c>
      <c r="I35" s="37" t="s">
        <v>157</v>
      </c>
    </row>
    <row r="36" spans="1:9" ht="14.25" customHeight="1" x14ac:dyDescent="0.3">
      <c r="A36" s="40">
        <v>27</v>
      </c>
      <c r="B36" s="183" t="s">
        <v>155</v>
      </c>
      <c r="C36" s="183" t="s">
        <v>510</v>
      </c>
      <c r="D36" s="183" t="s">
        <v>486</v>
      </c>
      <c r="E36" s="183" t="s">
        <v>142</v>
      </c>
      <c r="F36" s="183" t="s">
        <v>143</v>
      </c>
      <c r="G36" s="183" t="s">
        <v>144</v>
      </c>
      <c r="H36" s="183" t="s">
        <v>142</v>
      </c>
      <c r="I36" s="37" t="s">
        <v>143</v>
      </c>
    </row>
    <row r="37" spans="1:9" ht="14.25" customHeight="1" x14ac:dyDescent="0.3">
      <c r="A37" s="40">
        <v>28</v>
      </c>
      <c r="B37" s="183" t="s">
        <v>155</v>
      </c>
      <c r="C37" s="183" t="s">
        <v>510</v>
      </c>
      <c r="D37" s="183" t="s">
        <v>490</v>
      </c>
      <c r="E37" s="183" t="s">
        <v>142</v>
      </c>
      <c r="F37" s="183" t="s">
        <v>143</v>
      </c>
      <c r="G37" s="183" t="s">
        <v>144</v>
      </c>
      <c r="H37" s="183" t="s">
        <v>142</v>
      </c>
      <c r="I37" s="37" t="s">
        <v>143</v>
      </c>
    </row>
    <row r="38" spans="1:9" ht="14.25" customHeight="1" x14ac:dyDescent="0.3">
      <c r="A38" s="40">
        <v>29</v>
      </c>
      <c r="B38" s="183" t="s">
        <v>155</v>
      </c>
      <c r="C38" s="183" t="s">
        <v>510</v>
      </c>
      <c r="D38" s="183" t="s">
        <v>431</v>
      </c>
      <c r="E38" s="183" t="s">
        <v>142</v>
      </c>
      <c r="F38" s="183" t="s">
        <v>143</v>
      </c>
      <c r="G38" s="183" t="s">
        <v>144</v>
      </c>
      <c r="H38" s="183" t="s">
        <v>142</v>
      </c>
      <c r="I38" s="37" t="s">
        <v>143</v>
      </c>
    </row>
    <row r="39" spans="1:9" ht="14.25" customHeight="1" x14ac:dyDescent="0.3">
      <c r="A39" s="40">
        <v>30</v>
      </c>
      <c r="B39" s="183" t="s">
        <v>155</v>
      </c>
      <c r="C39" s="183" t="s">
        <v>510</v>
      </c>
      <c r="D39" s="183" t="s">
        <v>160</v>
      </c>
      <c r="E39" s="183" t="s">
        <v>526</v>
      </c>
      <c r="F39" s="183" t="s">
        <v>156</v>
      </c>
      <c r="G39" s="183" t="s">
        <v>157</v>
      </c>
      <c r="H39" s="183" t="s">
        <v>526</v>
      </c>
      <c r="I39" s="37" t="s">
        <v>156</v>
      </c>
    </row>
    <row r="40" spans="1:9" ht="14.25" customHeight="1" x14ac:dyDescent="0.3">
      <c r="A40" s="40">
        <v>31</v>
      </c>
      <c r="B40" s="183" t="s">
        <v>155</v>
      </c>
      <c r="C40" s="183" t="s">
        <v>510</v>
      </c>
      <c r="D40" s="183" t="s">
        <v>495</v>
      </c>
      <c r="E40" s="183" t="s">
        <v>526</v>
      </c>
      <c r="F40" s="183" t="s">
        <v>156</v>
      </c>
      <c r="G40" s="183" t="s">
        <v>157</v>
      </c>
      <c r="H40" s="183" t="s">
        <v>526</v>
      </c>
      <c r="I40" s="37" t="s">
        <v>156</v>
      </c>
    </row>
    <row r="41" spans="1:9" ht="14.25" customHeight="1" x14ac:dyDescent="0.3">
      <c r="A41" s="40">
        <v>32</v>
      </c>
      <c r="B41" s="183" t="s">
        <v>155</v>
      </c>
      <c r="C41" s="183" t="s">
        <v>510</v>
      </c>
      <c r="D41" s="183" t="s">
        <v>496</v>
      </c>
      <c r="E41" s="183" t="s">
        <v>537</v>
      </c>
      <c r="F41" s="183" t="s">
        <v>156</v>
      </c>
      <c r="G41" s="183" t="s">
        <v>157</v>
      </c>
      <c r="H41" s="183" t="s">
        <v>537</v>
      </c>
      <c r="I41" s="37" t="s">
        <v>156</v>
      </c>
    </row>
    <row r="42" spans="1:9" ht="14.25" customHeight="1" x14ac:dyDescent="0.3">
      <c r="A42" s="40">
        <v>33</v>
      </c>
      <c r="B42" s="183" t="s">
        <v>509</v>
      </c>
      <c r="C42" s="183" t="s">
        <v>510</v>
      </c>
      <c r="D42" s="183" t="s">
        <v>482</v>
      </c>
      <c r="E42" s="183" t="s">
        <v>357</v>
      </c>
      <c r="F42" s="183" t="s">
        <v>357</v>
      </c>
      <c r="G42" s="183" t="s">
        <v>357</v>
      </c>
      <c r="H42" s="183" t="s">
        <v>357</v>
      </c>
      <c r="I42" s="37" t="s">
        <v>357</v>
      </c>
    </row>
    <row r="43" spans="1:9" ht="14.25" customHeight="1" x14ac:dyDescent="0.3">
      <c r="A43" s="40">
        <v>34</v>
      </c>
      <c r="B43" s="183" t="s">
        <v>509</v>
      </c>
      <c r="C43" s="183" t="s">
        <v>510</v>
      </c>
      <c r="D43" s="183" t="s">
        <v>154</v>
      </c>
      <c r="E43" s="183" t="s">
        <v>357</v>
      </c>
      <c r="F43" s="183" t="s">
        <v>357</v>
      </c>
      <c r="G43" s="183" t="s">
        <v>357</v>
      </c>
      <c r="H43" s="183" t="s">
        <v>357</v>
      </c>
      <c r="I43" s="37" t="s">
        <v>357</v>
      </c>
    </row>
    <row r="44" spans="1:9" ht="14.25" customHeight="1" x14ac:dyDescent="0.3">
      <c r="A44" s="40">
        <v>35</v>
      </c>
      <c r="B44" s="183" t="s">
        <v>509</v>
      </c>
      <c r="C44" s="183" t="s">
        <v>510</v>
      </c>
      <c r="D44" s="183" t="s">
        <v>486</v>
      </c>
      <c r="E44" s="183" t="s">
        <v>357</v>
      </c>
      <c r="F44" s="183" t="s">
        <v>357</v>
      </c>
      <c r="G44" s="183" t="s">
        <v>357</v>
      </c>
      <c r="H44" s="183" t="s">
        <v>357</v>
      </c>
      <c r="I44" s="37" t="s">
        <v>357</v>
      </c>
    </row>
    <row r="45" spans="1:9" ht="14.25" customHeight="1" x14ac:dyDescent="0.3">
      <c r="A45" s="40">
        <v>36</v>
      </c>
      <c r="B45" s="183" t="s">
        <v>509</v>
      </c>
      <c r="C45" s="183" t="s">
        <v>510</v>
      </c>
      <c r="D45" s="183" t="s">
        <v>490</v>
      </c>
      <c r="E45" s="183" t="s">
        <v>357</v>
      </c>
      <c r="F45" s="183" t="s">
        <v>357</v>
      </c>
      <c r="G45" s="183" t="s">
        <v>357</v>
      </c>
      <c r="H45" s="183" t="s">
        <v>357</v>
      </c>
      <c r="I45" s="37" t="s">
        <v>357</v>
      </c>
    </row>
    <row r="46" spans="1:9" ht="14.25" customHeight="1" x14ac:dyDescent="0.3">
      <c r="A46" s="40">
        <v>37</v>
      </c>
      <c r="B46" s="183" t="s">
        <v>509</v>
      </c>
      <c r="C46" s="183" t="s">
        <v>510</v>
      </c>
      <c r="D46" s="183" t="s">
        <v>431</v>
      </c>
      <c r="E46" s="183" t="s">
        <v>357</v>
      </c>
      <c r="F46" s="183" t="s">
        <v>357</v>
      </c>
      <c r="G46" s="183" t="s">
        <v>357</v>
      </c>
      <c r="H46" s="183" t="s">
        <v>357</v>
      </c>
      <c r="I46" s="37" t="s">
        <v>357</v>
      </c>
    </row>
    <row r="47" spans="1:9" ht="14.25" customHeight="1" x14ac:dyDescent="0.3">
      <c r="A47" s="40">
        <v>38</v>
      </c>
      <c r="B47" s="183" t="s">
        <v>509</v>
      </c>
      <c r="C47" s="183" t="s">
        <v>510</v>
      </c>
      <c r="D47" s="183" t="s">
        <v>160</v>
      </c>
      <c r="E47" s="183" t="s">
        <v>357</v>
      </c>
      <c r="F47" s="183" t="s">
        <v>357</v>
      </c>
      <c r="G47" s="183" t="s">
        <v>357</v>
      </c>
      <c r="H47" s="183" t="s">
        <v>357</v>
      </c>
      <c r="I47" s="37" t="s">
        <v>357</v>
      </c>
    </row>
    <row r="48" spans="1:9" ht="14.25" customHeight="1" x14ac:dyDescent="0.3">
      <c r="A48" s="40">
        <v>39</v>
      </c>
      <c r="B48" s="183" t="s">
        <v>509</v>
      </c>
      <c r="C48" s="183" t="s">
        <v>510</v>
      </c>
      <c r="D48" s="183" t="s">
        <v>495</v>
      </c>
      <c r="E48" s="183" t="s">
        <v>357</v>
      </c>
      <c r="F48" s="183" t="s">
        <v>357</v>
      </c>
      <c r="G48" s="183" t="s">
        <v>357</v>
      </c>
      <c r="H48" s="183" t="s">
        <v>357</v>
      </c>
      <c r="I48" s="37" t="s">
        <v>357</v>
      </c>
    </row>
    <row r="49" spans="1:9" ht="14.25" customHeight="1" x14ac:dyDescent="0.3">
      <c r="A49" s="190">
        <v>40</v>
      </c>
      <c r="B49" s="191" t="s">
        <v>509</v>
      </c>
      <c r="C49" s="191" t="s">
        <v>510</v>
      </c>
      <c r="D49" s="191" t="s">
        <v>496</v>
      </c>
      <c r="E49" s="191" t="s">
        <v>357</v>
      </c>
      <c r="F49" s="191" t="s">
        <v>357</v>
      </c>
      <c r="G49" s="191" t="s">
        <v>357</v>
      </c>
      <c r="H49" s="191" t="s">
        <v>357</v>
      </c>
      <c r="I49" s="211" t="s">
        <v>357</v>
      </c>
    </row>
    <row r="50" spans="1:9" ht="14.25" customHeight="1" x14ac:dyDescent="0.3">
      <c r="A50" s="192">
        <v>41</v>
      </c>
      <c r="B50" s="193" t="s">
        <v>481</v>
      </c>
      <c r="C50" s="193" t="s">
        <v>139</v>
      </c>
      <c r="D50" s="193" t="s">
        <v>482</v>
      </c>
      <c r="E50" s="193" t="s">
        <v>142</v>
      </c>
      <c r="F50" s="193" t="s">
        <v>143</v>
      </c>
      <c r="G50" s="193" t="s">
        <v>144</v>
      </c>
      <c r="H50" s="193" t="s">
        <v>142</v>
      </c>
      <c r="I50" s="33" t="s">
        <v>143</v>
      </c>
    </row>
    <row r="51" spans="1:9" ht="14.25" customHeight="1" x14ac:dyDescent="0.3">
      <c r="A51" s="40">
        <v>42</v>
      </c>
      <c r="B51" s="183" t="s">
        <v>481</v>
      </c>
      <c r="C51" s="183" t="s">
        <v>139</v>
      </c>
      <c r="D51" s="183" t="s">
        <v>154</v>
      </c>
      <c r="E51" s="183" t="s">
        <v>142</v>
      </c>
      <c r="F51" s="183" t="s">
        <v>143</v>
      </c>
      <c r="G51" s="183" t="s">
        <v>144</v>
      </c>
      <c r="H51" s="183" t="s">
        <v>142</v>
      </c>
      <c r="I51" s="37" t="s">
        <v>143</v>
      </c>
    </row>
    <row r="52" spans="1:9" ht="14.25" customHeight="1" x14ac:dyDescent="0.3">
      <c r="A52" s="40">
        <v>43</v>
      </c>
      <c r="B52" s="183" t="s">
        <v>481</v>
      </c>
      <c r="C52" s="183" t="s">
        <v>139</v>
      </c>
      <c r="D52" s="183" t="s">
        <v>486</v>
      </c>
      <c r="E52" s="183" t="s">
        <v>526</v>
      </c>
      <c r="F52" s="183" t="s">
        <v>156</v>
      </c>
      <c r="G52" s="183" t="s">
        <v>157</v>
      </c>
      <c r="H52" s="183" t="s">
        <v>526</v>
      </c>
      <c r="I52" s="37" t="s">
        <v>156</v>
      </c>
    </row>
    <row r="53" spans="1:9" ht="14.25" customHeight="1" x14ac:dyDescent="0.3">
      <c r="A53" s="40">
        <v>44</v>
      </c>
      <c r="B53" s="183" t="s">
        <v>481</v>
      </c>
      <c r="C53" s="183" t="s">
        <v>139</v>
      </c>
      <c r="D53" s="183" t="s">
        <v>490</v>
      </c>
      <c r="E53" s="183" t="s">
        <v>526</v>
      </c>
      <c r="F53" s="183" t="s">
        <v>156</v>
      </c>
      <c r="G53" s="183" t="s">
        <v>157</v>
      </c>
      <c r="H53" s="183" t="s">
        <v>526</v>
      </c>
      <c r="I53" s="37" t="s">
        <v>156</v>
      </c>
    </row>
    <row r="54" spans="1:9" ht="14.25" customHeight="1" x14ac:dyDescent="0.3">
      <c r="A54" s="40">
        <v>45</v>
      </c>
      <c r="B54" s="183" t="s">
        <v>481</v>
      </c>
      <c r="C54" s="183" t="s">
        <v>139</v>
      </c>
      <c r="D54" s="183" t="s">
        <v>431</v>
      </c>
      <c r="E54" s="183" t="s">
        <v>526</v>
      </c>
      <c r="F54" s="183" t="s">
        <v>156</v>
      </c>
      <c r="G54" s="183" t="s">
        <v>157</v>
      </c>
      <c r="H54" s="183" t="s">
        <v>526</v>
      </c>
      <c r="I54" s="37" t="s">
        <v>156</v>
      </c>
    </row>
    <row r="55" spans="1:9" ht="14.25" customHeight="1" x14ac:dyDescent="0.3">
      <c r="A55" s="40">
        <v>46</v>
      </c>
      <c r="B55" s="183" t="s">
        <v>481</v>
      </c>
      <c r="C55" s="183" t="s">
        <v>139</v>
      </c>
      <c r="D55" s="183" t="s">
        <v>160</v>
      </c>
      <c r="E55" s="183" t="s">
        <v>493</v>
      </c>
      <c r="F55" s="183" t="s">
        <v>493</v>
      </c>
      <c r="G55" s="183" t="s">
        <v>493</v>
      </c>
      <c r="H55" s="183" t="s">
        <v>493</v>
      </c>
      <c r="I55" s="37" t="s">
        <v>493</v>
      </c>
    </row>
    <row r="56" spans="1:9" ht="14.25" customHeight="1" x14ac:dyDescent="0.3">
      <c r="A56" s="40">
        <v>47</v>
      </c>
      <c r="B56" s="183" t="s">
        <v>481</v>
      </c>
      <c r="C56" s="183" t="s">
        <v>139</v>
      </c>
      <c r="D56" s="183" t="s">
        <v>495</v>
      </c>
      <c r="E56" s="183" t="s">
        <v>493</v>
      </c>
      <c r="F56" s="183" t="s">
        <v>493</v>
      </c>
      <c r="G56" s="183" t="s">
        <v>493</v>
      </c>
      <c r="H56" s="183" t="s">
        <v>493</v>
      </c>
      <c r="I56" s="37" t="s">
        <v>493</v>
      </c>
    </row>
    <row r="57" spans="1:9" ht="14.25" customHeight="1" x14ac:dyDescent="0.3">
      <c r="A57" s="40">
        <v>48</v>
      </c>
      <c r="B57" s="183" t="s">
        <v>481</v>
      </c>
      <c r="C57" s="183" t="s">
        <v>139</v>
      </c>
      <c r="D57" s="183" t="s">
        <v>496</v>
      </c>
      <c r="E57" s="183" t="s">
        <v>493</v>
      </c>
      <c r="F57" s="183" t="s">
        <v>493</v>
      </c>
      <c r="G57" s="183" t="s">
        <v>493</v>
      </c>
      <c r="H57" s="183" t="s">
        <v>493</v>
      </c>
      <c r="I57" s="37" t="s">
        <v>493</v>
      </c>
    </row>
    <row r="58" spans="1:9" ht="14.25" customHeight="1" x14ac:dyDescent="0.3">
      <c r="A58" s="40">
        <v>49</v>
      </c>
      <c r="B58" s="183" t="s">
        <v>497</v>
      </c>
      <c r="C58" s="183" t="s">
        <v>139</v>
      </c>
      <c r="D58" s="183" t="s">
        <v>482</v>
      </c>
      <c r="E58" s="183" t="s">
        <v>142</v>
      </c>
      <c r="F58" s="183" t="s">
        <v>143</v>
      </c>
      <c r="G58" s="183" t="s">
        <v>144</v>
      </c>
      <c r="H58" s="183" t="s">
        <v>142</v>
      </c>
      <c r="I58" s="37" t="s">
        <v>143</v>
      </c>
    </row>
    <row r="59" spans="1:9" ht="14.25" customHeight="1" x14ac:dyDescent="0.3">
      <c r="A59" s="40">
        <v>50</v>
      </c>
      <c r="B59" s="183" t="s">
        <v>497</v>
      </c>
      <c r="C59" s="183" t="s">
        <v>139</v>
      </c>
      <c r="D59" s="183" t="s">
        <v>154</v>
      </c>
      <c r="E59" s="183" t="s">
        <v>142</v>
      </c>
      <c r="F59" s="183" t="s">
        <v>143</v>
      </c>
      <c r="G59" s="183" t="s">
        <v>144</v>
      </c>
      <c r="H59" s="183" t="s">
        <v>142</v>
      </c>
      <c r="I59" s="37" t="s">
        <v>143</v>
      </c>
    </row>
    <row r="60" spans="1:9" ht="14.25" customHeight="1" x14ac:dyDescent="0.3">
      <c r="A60" s="40">
        <v>51</v>
      </c>
      <c r="B60" s="183" t="s">
        <v>497</v>
      </c>
      <c r="C60" s="183" t="s">
        <v>139</v>
      </c>
      <c r="D60" s="183" t="s">
        <v>486</v>
      </c>
      <c r="E60" s="183" t="s">
        <v>526</v>
      </c>
      <c r="F60" s="183" t="s">
        <v>156</v>
      </c>
      <c r="G60" s="183" t="s">
        <v>157</v>
      </c>
      <c r="H60" s="183" t="s">
        <v>526</v>
      </c>
      <c r="I60" s="37" t="s">
        <v>156</v>
      </c>
    </row>
    <row r="61" spans="1:9" ht="14.25" customHeight="1" x14ac:dyDescent="0.3">
      <c r="A61" s="40">
        <v>52</v>
      </c>
      <c r="B61" s="183" t="s">
        <v>497</v>
      </c>
      <c r="C61" s="183" t="s">
        <v>139</v>
      </c>
      <c r="D61" s="183" t="s">
        <v>490</v>
      </c>
      <c r="E61" s="183" t="s">
        <v>526</v>
      </c>
      <c r="F61" s="183" t="s">
        <v>156</v>
      </c>
      <c r="G61" s="183" t="s">
        <v>157</v>
      </c>
      <c r="H61" s="183" t="s">
        <v>526</v>
      </c>
      <c r="I61" s="37" t="s">
        <v>156</v>
      </c>
    </row>
    <row r="62" spans="1:9" ht="14.25" customHeight="1" x14ac:dyDescent="0.3">
      <c r="A62" s="40">
        <v>53</v>
      </c>
      <c r="B62" s="183" t="s">
        <v>497</v>
      </c>
      <c r="C62" s="183" t="s">
        <v>139</v>
      </c>
      <c r="D62" s="183" t="s">
        <v>431</v>
      </c>
      <c r="E62" s="183" t="s">
        <v>526</v>
      </c>
      <c r="F62" s="183" t="s">
        <v>156</v>
      </c>
      <c r="G62" s="183" t="s">
        <v>157</v>
      </c>
      <c r="H62" s="183" t="s">
        <v>526</v>
      </c>
      <c r="I62" s="37" t="s">
        <v>156</v>
      </c>
    </row>
    <row r="63" spans="1:9" ht="14.25" customHeight="1" x14ac:dyDescent="0.3">
      <c r="A63" s="40">
        <v>54</v>
      </c>
      <c r="B63" s="183" t="s">
        <v>497</v>
      </c>
      <c r="C63" s="183" t="s">
        <v>139</v>
      </c>
      <c r="D63" s="183" t="s">
        <v>160</v>
      </c>
      <c r="E63" s="183" t="s">
        <v>148</v>
      </c>
      <c r="F63" s="183" t="s">
        <v>142</v>
      </c>
      <c r="G63" s="183" t="s">
        <v>143</v>
      </c>
      <c r="H63" s="183" t="s">
        <v>148</v>
      </c>
      <c r="I63" s="37" t="s">
        <v>142</v>
      </c>
    </row>
    <row r="64" spans="1:9" ht="14.25" customHeight="1" x14ac:dyDescent="0.3">
      <c r="A64" s="40">
        <v>55</v>
      </c>
      <c r="B64" s="183" t="s">
        <v>497</v>
      </c>
      <c r="C64" s="183" t="s">
        <v>139</v>
      </c>
      <c r="D64" s="183" t="s">
        <v>495</v>
      </c>
      <c r="E64" s="183" t="s">
        <v>148</v>
      </c>
      <c r="F64" s="183" t="s">
        <v>142</v>
      </c>
      <c r="G64" s="183" t="s">
        <v>143</v>
      </c>
      <c r="H64" s="183" t="s">
        <v>148</v>
      </c>
      <c r="I64" s="37" t="s">
        <v>142</v>
      </c>
    </row>
    <row r="65" spans="1:9" ht="14.25" customHeight="1" x14ac:dyDescent="0.3">
      <c r="A65" s="40">
        <v>56</v>
      </c>
      <c r="B65" s="183" t="s">
        <v>497</v>
      </c>
      <c r="C65" s="183" t="s">
        <v>139</v>
      </c>
      <c r="D65" s="183" t="s">
        <v>496</v>
      </c>
      <c r="E65" s="183" t="s">
        <v>148</v>
      </c>
      <c r="F65" s="183" t="s">
        <v>142</v>
      </c>
      <c r="G65" s="183" t="s">
        <v>143</v>
      </c>
      <c r="H65" s="183" t="s">
        <v>148</v>
      </c>
      <c r="I65" s="37" t="s">
        <v>142</v>
      </c>
    </row>
    <row r="66" spans="1:9" ht="14.25" customHeight="1" x14ac:dyDescent="0.3">
      <c r="A66" s="40">
        <v>57</v>
      </c>
      <c r="B66" s="183" t="s">
        <v>138</v>
      </c>
      <c r="C66" s="183" t="s">
        <v>139</v>
      </c>
      <c r="D66" s="183" t="s">
        <v>482</v>
      </c>
      <c r="E66" s="183" t="s">
        <v>156</v>
      </c>
      <c r="F66" s="183" t="s">
        <v>157</v>
      </c>
      <c r="G66" s="183" t="s">
        <v>158</v>
      </c>
      <c r="H66" s="183" t="s">
        <v>156</v>
      </c>
      <c r="I66" s="37" t="s">
        <v>157</v>
      </c>
    </row>
    <row r="67" spans="1:9" ht="14.25" customHeight="1" x14ac:dyDescent="0.3">
      <c r="A67" s="40">
        <v>58</v>
      </c>
      <c r="B67" s="183" t="s">
        <v>138</v>
      </c>
      <c r="C67" s="183" t="s">
        <v>139</v>
      </c>
      <c r="D67" s="183" t="s">
        <v>154</v>
      </c>
      <c r="E67" s="183" t="s">
        <v>156</v>
      </c>
      <c r="F67" s="183" t="s">
        <v>157</v>
      </c>
      <c r="G67" s="183" t="s">
        <v>158</v>
      </c>
      <c r="H67" s="183" t="s">
        <v>156</v>
      </c>
      <c r="I67" s="37" t="s">
        <v>157</v>
      </c>
    </row>
    <row r="68" spans="1:9" ht="14.25" customHeight="1" x14ac:dyDescent="0.3">
      <c r="A68" s="40">
        <v>59</v>
      </c>
      <c r="B68" s="183" t="s">
        <v>138</v>
      </c>
      <c r="C68" s="183" t="s">
        <v>139</v>
      </c>
      <c r="D68" s="183" t="s">
        <v>486</v>
      </c>
      <c r="E68" s="183" t="s">
        <v>142</v>
      </c>
      <c r="F68" s="183" t="s">
        <v>143</v>
      </c>
      <c r="G68" s="183" t="s">
        <v>144</v>
      </c>
      <c r="H68" s="183" t="s">
        <v>142</v>
      </c>
      <c r="I68" s="37" t="s">
        <v>143</v>
      </c>
    </row>
    <row r="69" spans="1:9" ht="14.25" customHeight="1" x14ac:dyDescent="0.3">
      <c r="A69" s="40">
        <v>60</v>
      </c>
      <c r="B69" s="183" t="s">
        <v>138</v>
      </c>
      <c r="C69" s="183" t="s">
        <v>139</v>
      </c>
      <c r="D69" s="183" t="s">
        <v>490</v>
      </c>
      <c r="E69" s="183" t="s">
        <v>142</v>
      </c>
      <c r="F69" s="183" t="s">
        <v>143</v>
      </c>
      <c r="G69" s="183" t="s">
        <v>144</v>
      </c>
      <c r="H69" s="183" t="s">
        <v>142</v>
      </c>
      <c r="I69" s="37" t="s">
        <v>143</v>
      </c>
    </row>
    <row r="70" spans="1:9" ht="14.25" customHeight="1" x14ac:dyDescent="0.3">
      <c r="A70" s="40">
        <v>61</v>
      </c>
      <c r="B70" s="183" t="s">
        <v>138</v>
      </c>
      <c r="C70" s="183" t="s">
        <v>139</v>
      </c>
      <c r="D70" s="183" t="s">
        <v>431</v>
      </c>
      <c r="E70" s="183" t="s">
        <v>142</v>
      </c>
      <c r="F70" s="183" t="s">
        <v>143</v>
      </c>
      <c r="G70" s="183" t="s">
        <v>144</v>
      </c>
      <c r="H70" s="183" t="s">
        <v>142</v>
      </c>
      <c r="I70" s="37" t="s">
        <v>143</v>
      </c>
    </row>
    <row r="71" spans="1:9" ht="14.25" customHeight="1" x14ac:dyDescent="0.3">
      <c r="A71" s="40">
        <v>62</v>
      </c>
      <c r="B71" s="183" t="s">
        <v>138</v>
      </c>
      <c r="C71" s="183" t="s">
        <v>139</v>
      </c>
      <c r="D71" s="183" t="s">
        <v>160</v>
      </c>
      <c r="E71" s="183" t="s">
        <v>526</v>
      </c>
      <c r="F71" s="183" t="s">
        <v>156</v>
      </c>
      <c r="G71" s="183" t="s">
        <v>157</v>
      </c>
      <c r="H71" s="183" t="s">
        <v>526</v>
      </c>
      <c r="I71" s="37" t="s">
        <v>156</v>
      </c>
    </row>
    <row r="72" spans="1:9" ht="14.25" customHeight="1" x14ac:dyDescent="0.3">
      <c r="A72" s="40">
        <v>63</v>
      </c>
      <c r="B72" s="183" t="s">
        <v>138</v>
      </c>
      <c r="C72" s="183" t="s">
        <v>139</v>
      </c>
      <c r="D72" s="183" t="s">
        <v>495</v>
      </c>
      <c r="E72" s="183" t="s">
        <v>526</v>
      </c>
      <c r="F72" s="183" t="s">
        <v>156</v>
      </c>
      <c r="G72" s="183" t="s">
        <v>157</v>
      </c>
      <c r="H72" s="183" t="s">
        <v>526</v>
      </c>
      <c r="I72" s="37" t="s">
        <v>156</v>
      </c>
    </row>
    <row r="73" spans="1:9" ht="14.25" customHeight="1" x14ac:dyDescent="0.3">
      <c r="A73" s="40">
        <v>64</v>
      </c>
      <c r="B73" s="183" t="s">
        <v>138</v>
      </c>
      <c r="C73" s="183" t="s">
        <v>139</v>
      </c>
      <c r="D73" s="183" t="s">
        <v>496</v>
      </c>
      <c r="E73" s="183" t="s">
        <v>526</v>
      </c>
      <c r="F73" s="183" t="s">
        <v>156</v>
      </c>
      <c r="G73" s="183" t="s">
        <v>157</v>
      </c>
      <c r="H73" s="183" t="s">
        <v>526</v>
      </c>
      <c r="I73" s="37" t="s">
        <v>156</v>
      </c>
    </row>
    <row r="74" spans="1:9" ht="14.25" customHeight="1" x14ac:dyDescent="0.3">
      <c r="A74" s="40">
        <v>65</v>
      </c>
      <c r="B74" s="183" t="s">
        <v>155</v>
      </c>
      <c r="C74" s="183" t="s">
        <v>139</v>
      </c>
      <c r="D74" s="183" t="s">
        <v>482</v>
      </c>
      <c r="E74" s="183" t="s">
        <v>157</v>
      </c>
      <c r="F74" s="183" t="s">
        <v>158</v>
      </c>
      <c r="G74" s="183" t="s">
        <v>538</v>
      </c>
      <c r="H74" s="183" t="s">
        <v>157</v>
      </c>
      <c r="I74" s="37" t="s">
        <v>158</v>
      </c>
    </row>
    <row r="75" spans="1:9" ht="14.25" customHeight="1" x14ac:dyDescent="0.3">
      <c r="A75" s="40">
        <v>66</v>
      </c>
      <c r="B75" s="183" t="s">
        <v>155</v>
      </c>
      <c r="C75" s="183" t="s">
        <v>139</v>
      </c>
      <c r="D75" s="183" t="s">
        <v>154</v>
      </c>
      <c r="E75" s="183" t="s">
        <v>157</v>
      </c>
      <c r="F75" s="183" t="s">
        <v>158</v>
      </c>
      <c r="G75" s="183" t="s">
        <v>538</v>
      </c>
      <c r="H75" s="183" t="s">
        <v>157</v>
      </c>
      <c r="I75" s="37" t="s">
        <v>158</v>
      </c>
    </row>
    <row r="76" spans="1:9" ht="17.25" customHeight="1" x14ac:dyDescent="0.3">
      <c r="A76" s="40">
        <v>67</v>
      </c>
      <c r="B76" s="183" t="s">
        <v>155</v>
      </c>
      <c r="C76" s="183" t="s">
        <v>139</v>
      </c>
      <c r="D76" s="183" t="s">
        <v>486</v>
      </c>
      <c r="E76" s="183" t="s">
        <v>156</v>
      </c>
      <c r="F76" s="183" t="s">
        <v>157</v>
      </c>
      <c r="G76" s="183" t="s">
        <v>158</v>
      </c>
      <c r="H76" s="183" t="s">
        <v>156</v>
      </c>
      <c r="I76" s="37" t="s">
        <v>157</v>
      </c>
    </row>
    <row r="77" spans="1:9" ht="14.25" customHeight="1" x14ac:dyDescent="0.3">
      <c r="A77" s="40">
        <v>68</v>
      </c>
      <c r="B77" s="183" t="s">
        <v>155</v>
      </c>
      <c r="C77" s="183" t="s">
        <v>139</v>
      </c>
      <c r="D77" s="183" t="s">
        <v>490</v>
      </c>
      <c r="E77" s="183" t="s">
        <v>156</v>
      </c>
      <c r="F77" s="183" t="s">
        <v>157</v>
      </c>
      <c r="G77" s="183" t="s">
        <v>158</v>
      </c>
      <c r="H77" s="183" t="s">
        <v>156</v>
      </c>
      <c r="I77" s="37" t="s">
        <v>157</v>
      </c>
    </row>
    <row r="78" spans="1:9" ht="14.25" customHeight="1" x14ac:dyDescent="0.3">
      <c r="A78" s="40">
        <v>69</v>
      </c>
      <c r="B78" s="183" t="s">
        <v>155</v>
      </c>
      <c r="C78" s="183" t="s">
        <v>139</v>
      </c>
      <c r="D78" s="183" t="s">
        <v>431</v>
      </c>
      <c r="E78" s="183" t="s">
        <v>156</v>
      </c>
      <c r="F78" s="183" t="s">
        <v>157</v>
      </c>
      <c r="G78" s="183" t="s">
        <v>158</v>
      </c>
      <c r="H78" s="183" t="s">
        <v>156</v>
      </c>
      <c r="I78" s="37" t="s">
        <v>157</v>
      </c>
    </row>
    <row r="79" spans="1:9" ht="14.25" customHeight="1" x14ac:dyDescent="0.3">
      <c r="A79" s="40">
        <v>70</v>
      </c>
      <c r="B79" s="183" t="s">
        <v>155</v>
      </c>
      <c r="C79" s="183" t="s">
        <v>139</v>
      </c>
      <c r="D79" s="183" t="s">
        <v>160</v>
      </c>
      <c r="E79" s="183" t="s">
        <v>142</v>
      </c>
      <c r="F79" s="183" t="s">
        <v>143</v>
      </c>
      <c r="G79" s="183" t="s">
        <v>144</v>
      </c>
      <c r="H79" s="183" t="s">
        <v>142</v>
      </c>
      <c r="I79" s="37" t="s">
        <v>143</v>
      </c>
    </row>
    <row r="80" spans="1:9" ht="14.25" customHeight="1" x14ac:dyDescent="0.3">
      <c r="A80" s="40">
        <v>71</v>
      </c>
      <c r="B80" s="183" t="s">
        <v>155</v>
      </c>
      <c r="C80" s="183" t="s">
        <v>139</v>
      </c>
      <c r="D80" s="183" t="s">
        <v>495</v>
      </c>
      <c r="E80" s="183" t="s">
        <v>142</v>
      </c>
      <c r="F80" s="183" t="s">
        <v>143</v>
      </c>
      <c r="G80" s="183" t="s">
        <v>144</v>
      </c>
      <c r="H80" s="183" t="s">
        <v>142</v>
      </c>
      <c r="I80" s="37" t="s">
        <v>143</v>
      </c>
    </row>
    <row r="81" spans="1:9" ht="14.25" customHeight="1" x14ac:dyDescent="0.3">
      <c r="A81" s="40">
        <v>72</v>
      </c>
      <c r="B81" s="183" t="s">
        <v>155</v>
      </c>
      <c r="C81" s="183" t="s">
        <v>139</v>
      </c>
      <c r="D81" s="183" t="s">
        <v>496</v>
      </c>
      <c r="E81" s="183" t="s">
        <v>142</v>
      </c>
      <c r="F81" s="183" t="s">
        <v>143</v>
      </c>
      <c r="G81" s="183" t="s">
        <v>144</v>
      </c>
      <c r="H81" s="183" t="s">
        <v>142</v>
      </c>
      <c r="I81" s="37" t="s">
        <v>143</v>
      </c>
    </row>
    <row r="82" spans="1:9" ht="14.25" customHeight="1" x14ac:dyDescent="0.3">
      <c r="A82" s="40">
        <v>73</v>
      </c>
      <c r="B82" s="183" t="s">
        <v>509</v>
      </c>
      <c r="C82" s="183" t="s">
        <v>139</v>
      </c>
      <c r="D82" s="183" t="s">
        <v>482</v>
      </c>
      <c r="E82" s="183" t="s">
        <v>357</v>
      </c>
      <c r="F82" s="183" t="s">
        <v>357</v>
      </c>
      <c r="G82" s="183" t="s">
        <v>357</v>
      </c>
      <c r="H82" s="183" t="s">
        <v>357</v>
      </c>
      <c r="I82" s="37" t="s">
        <v>357</v>
      </c>
    </row>
    <row r="83" spans="1:9" ht="14.25" customHeight="1" x14ac:dyDescent="0.3">
      <c r="A83" s="40">
        <v>74</v>
      </c>
      <c r="B83" s="183" t="s">
        <v>509</v>
      </c>
      <c r="C83" s="183" t="s">
        <v>139</v>
      </c>
      <c r="D83" s="183" t="s">
        <v>154</v>
      </c>
      <c r="E83" s="183" t="s">
        <v>357</v>
      </c>
      <c r="F83" s="183" t="s">
        <v>357</v>
      </c>
      <c r="G83" s="183" t="s">
        <v>357</v>
      </c>
      <c r="H83" s="183" t="s">
        <v>357</v>
      </c>
      <c r="I83" s="37" t="s">
        <v>357</v>
      </c>
    </row>
    <row r="84" spans="1:9" ht="14.25" customHeight="1" x14ac:dyDescent="0.3">
      <c r="A84" s="40">
        <v>75</v>
      </c>
      <c r="B84" s="183" t="s">
        <v>509</v>
      </c>
      <c r="C84" s="183" t="s">
        <v>139</v>
      </c>
      <c r="D84" s="183" t="s">
        <v>486</v>
      </c>
      <c r="E84" s="183" t="s">
        <v>357</v>
      </c>
      <c r="F84" s="183" t="s">
        <v>357</v>
      </c>
      <c r="G84" s="183" t="s">
        <v>357</v>
      </c>
      <c r="H84" s="183" t="s">
        <v>357</v>
      </c>
      <c r="I84" s="37" t="s">
        <v>357</v>
      </c>
    </row>
    <row r="85" spans="1:9" ht="49.5" customHeight="1" x14ac:dyDescent="0.3">
      <c r="A85" s="40">
        <v>76</v>
      </c>
      <c r="B85" s="183" t="s">
        <v>509</v>
      </c>
      <c r="C85" s="183" t="s">
        <v>139</v>
      </c>
      <c r="D85" s="183" t="s">
        <v>490</v>
      </c>
      <c r="E85" s="183" t="s">
        <v>357</v>
      </c>
      <c r="F85" s="183" t="s">
        <v>357</v>
      </c>
      <c r="G85" s="183" t="s">
        <v>357</v>
      </c>
      <c r="H85" s="183" t="s">
        <v>357</v>
      </c>
      <c r="I85" s="37" t="s">
        <v>357</v>
      </c>
    </row>
    <row r="86" spans="1:9" ht="14.25" customHeight="1" x14ac:dyDescent="0.3">
      <c r="A86" s="40">
        <v>77</v>
      </c>
      <c r="B86" s="183" t="s">
        <v>509</v>
      </c>
      <c r="C86" s="183" t="s">
        <v>139</v>
      </c>
      <c r="D86" s="183" t="s">
        <v>431</v>
      </c>
      <c r="E86" s="183" t="s">
        <v>357</v>
      </c>
      <c r="F86" s="183" t="s">
        <v>357</v>
      </c>
      <c r="G86" s="183" t="s">
        <v>357</v>
      </c>
      <c r="H86" s="183" t="s">
        <v>357</v>
      </c>
      <c r="I86" s="37" t="s">
        <v>357</v>
      </c>
    </row>
    <row r="87" spans="1:9" ht="14.25" customHeight="1" x14ac:dyDescent="0.3">
      <c r="A87" s="40">
        <v>78</v>
      </c>
      <c r="B87" s="183" t="s">
        <v>509</v>
      </c>
      <c r="C87" s="183" t="s">
        <v>139</v>
      </c>
      <c r="D87" s="183" t="s">
        <v>160</v>
      </c>
      <c r="E87" s="183" t="s">
        <v>357</v>
      </c>
      <c r="F87" s="183" t="s">
        <v>357</v>
      </c>
      <c r="G87" s="183" t="s">
        <v>357</v>
      </c>
      <c r="H87" s="183" t="s">
        <v>357</v>
      </c>
      <c r="I87" s="37" t="s">
        <v>357</v>
      </c>
    </row>
    <row r="88" spans="1:9" ht="14.25" customHeight="1" x14ac:dyDescent="0.3">
      <c r="A88" s="40">
        <v>79</v>
      </c>
      <c r="B88" s="183" t="s">
        <v>509</v>
      </c>
      <c r="C88" s="183" t="s">
        <v>139</v>
      </c>
      <c r="D88" s="183" t="s">
        <v>495</v>
      </c>
      <c r="E88" s="183" t="s">
        <v>357</v>
      </c>
      <c r="F88" s="183" t="s">
        <v>357</v>
      </c>
      <c r="G88" s="183" t="s">
        <v>357</v>
      </c>
      <c r="H88" s="183" t="s">
        <v>357</v>
      </c>
      <c r="I88" s="37" t="s">
        <v>357</v>
      </c>
    </row>
    <row r="89" spans="1:9" ht="14.25" customHeight="1" x14ac:dyDescent="0.3">
      <c r="A89" s="212">
        <v>80</v>
      </c>
      <c r="B89" s="194" t="s">
        <v>509</v>
      </c>
      <c r="C89" s="194" t="s">
        <v>139</v>
      </c>
      <c r="D89" s="194" t="s">
        <v>496</v>
      </c>
      <c r="E89" s="194" t="s">
        <v>357</v>
      </c>
      <c r="F89" s="194" t="s">
        <v>357</v>
      </c>
      <c r="G89" s="194" t="s">
        <v>357</v>
      </c>
      <c r="H89" s="194" t="s">
        <v>357</v>
      </c>
      <c r="I89" s="43" t="s">
        <v>357</v>
      </c>
    </row>
    <row r="90" spans="1:9" ht="14.25" customHeight="1" x14ac:dyDescent="0.3"/>
    <row r="91" spans="1:9" ht="14.25" customHeight="1" x14ac:dyDescent="0.3"/>
    <row r="92" spans="1:9" ht="14.25" customHeight="1" x14ac:dyDescent="0.3">
      <c r="G92" s="160" t="s">
        <v>539</v>
      </c>
    </row>
    <row r="93" spans="1:9" ht="14.25" customHeight="1" x14ac:dyDescent="0.3">
      <c r="A93" s="120" t="s">
        <v>540</v>
      </c>
      <c r="G93" s="166" t="s">
        <v>541</v>
      </c>
    </row>
    <row r="94" spans="1:9" ht="14.25" customHeight="1" x14ac:dyDescent="0.3">
      <c r="A94" s="208" t="s">
        <v>473</v>
      </c>
      <c r="B94" s="209" t="s">
        <v>474</v>
      </c>
      <c r="C94" s="209" t="s">
        <v>476</v>
      </c>
      <c r="D94" s="209" t="s">
        <v>475</v>
      </c>
      <c r="E94" s="210" t="s">
        <v>533</v>
      </c>
    </row>
    <row r="95" spans="1:9" ht="14.25" customHeight="1" x14ac:dyDescent="0.3">
      <c r="A95" s="40">
        <v>1</v>
      </c>
      <c r="B95" s="183" t="s">
        <v>497</v>
      </c>
      <c r="C95" s="183" t="s">
        <v>139</v>
      </c>
      <c r="D95" s="183" t="s">
        <v>482</v>
      </c>
      <c r="E95" s="37" t="s">
        <v>156</v>
      </c>
    </row>
    <row r="96" spans="1:9" ht="14.25" customHeight="1" x14ac:dyDescent="0.3">
      <c r="A96" s="40">
        <v>2</v>
      </c>
      <c r="B96" s="183" t="s">
        <v>497</v>
      </c>
      <c r="C96" s="183" t="s">
        <v>139</v>
      </c>
      <c r="D96" s="183" t="s">
        <v>154</v>
      </c>
      <c r="E96" s="37" t="s">
        <v>156</v>
      </c>
    </row>
    <row r="97" spans="1:5" ht="14.25" customHeight="1" x14ac:dyDescent="0.3">
      <c r="A97" s="40">
        <v>3</v>
      </c>
      <c r="B97" s="183" t="s">
        <v>497</v>
      </c>
      <c r="C97" s="183" t="s">
        <v>139</v>
      </c>
      <c r="D97" s="183" t="s">
        <v>486</v>
      </c>
      <c r="E97" s="37" t="s">
        <v>142</v>
      </c>
    </row>
    <row r="98" spans="1:5" ht="14.25" customHeight="1" x14ac:dyDescent="0.3">
      <c r="A98" s="40">
        <v>4</v>
      </c>
      <c r="B98" s="183" t="s">
        <v>497</v>
      </c>
      <c r="C98" s="183" t="s">
        <v>139</v>
      </c>
      <c r="D98" s="183" t="s">
        <v>490</v>
      </c>
      <c r="E98" s="37" t="s">
        <v>142</v>
      </c>
    </row>
    <row r="99" spans="1:5" ht="14.25" customHeight="1" x14ac:dyDescent="0.3">
      <c r="A99" s="40">
        <v>5</v>
      </c>
      <c r="B99" s="183" t="s">
        <v>497</v>
      </c>
      <c r="C99" s="183" t="s">
        <v>139</v>
      </c>
      <c r="D99" s="183" t="s">
        <v>431</v>
      </c>
      <c r="E99" s="37" t="s">
        <v>142</v>
      </c>
    </row>
    <row r="100" spans="1:5" ht="14.25" customHeight="1" x14ac:dyDescent="0.3">
      <c r="A100" s="40">
        <v>6</v>
      </c>
      <c r="B100" s="183" t="s">
        <v>497</v>
      </c>
      <c r="C100" s="183" t="s">
        <v>139</v>
      </c>
      <c r="D100" s="183" t="s">
        <v>160</v>
      </c>
      <c r="E100" s="37" t="s">
        <v>526</v>
      </c>
    </row>
    <row r="101" spans="1:5" ht="14.25" customHeight="1" x14ac:dyDescent="0.3">
      <c r="A101" s="40">
        <v>7</v>
      </c>
      <c r="B101" s="183" t="s">
        <v>497</v>
      </c>
      <c r="C101" s="183" t="s">
        <v>139</v>
      </c>
      <c r="D101" s="183" t="s">
        <v>495</v>
      </c>
      <c r="E101" s="37" t="s">
        <v>526</v>
      </c>
    </row>
    <row r="102" spans="1:5" ht="14.25" customHeight="1" x14ac:dyDescent="0.3">
      <c r="A102" s="40">
        <v>8</v>
      </c>
      <c r="B102" s="183" t="s">
        <v>497</v>
      </c>
      <c r="C102" s="183" t="s">
        <v>139</v>
      </c>
      <c r="D102" s="183" t="s">
        <v>496</v>
      </c>
      <c r="E102" s="37" t="s">
        <v>526</v>
      </c>
    </row>
    <row r="103" spans="1:5" ht="14.25" customHeight="1" x14ac:dyDescent="0.3">
      <c r="A103" s="40">
        <v>9</v>
      </c>
      <c r="B103" s="183" t="s">
        <v>138</v>
      </c>
      <c r="C103" s="183" t="s">
        <v>139</v>
      </c>
      <c r="D103" s="183" t="s">
        <v>482</v>
      </c>
      <c r="E103" s="37" t="s">
        <v>157</v>
      </c>
    </row>
    <row r="104" spans="1:5" ht="14.25" customHeight="1" x14ac:dyDescent="0.3">
      <c r="A104" s="40">
        <v>10</v>
      </c>
      <c r="B104" s="183" t="s">
        <v>138</v>
      </c>
      <c r="C104" s="183" t="s">
        <v>139</v>
      </c>
      <c r="D104" s="183" t="s">
        <v>154</v>
      </c>
      <c r="E104" s="37" t="s">
        <v>157</v>
      </c>
    </row>
    <row r="105" spans="1:5" ht="14.25" customHeight="1" x14ac:dyDescent="0.3">
      <c r="A105" s="40">
        <v>11</v>
      </c>
      <c r="B105" s="183" t="s">
        <v>138</v>
      </c>
      <c r="C105" s="183" t="s">
        <v>139</v>
      </c>
      <c r="D105" s="183" t="s">
        <v>486</v>
      </c>
      <c r="E105" s="37" t="s">
        <v>157</v>
      </c>
    </row>
    <row r="106" spans="1:5" ht="14.25" customHeight="1" x14ac:dyDescent="0.3">
      <c r="A106" s="40">
        <v>12</v>
      </c>
      <c r="B106" s="183" t="s">
        <v>138</v>
      </c>
      <c r="C106" s="183" t="s">
        <v>139</v>
      </c>
      <c r="D106" s="183" t="s">
        <v>490</v>
      </c>
      <c r="E106" s="37" t="s">
        <v>157</v>
      </c>
    </row>
    <row r="107" spans="1:5" ht="14.25" customHeight="1" x14ac:dyDescent="0.3">
      <c r="A107" s="40">
        <v>13</v>
      </c>
      <c r="B107" s="183" t="s">
        <v>138</v>
      </c>
      <c r="C107" s="183" t="s">
        <v>139</v>
      </c>
      <c r="D107" s="183" t="s">
        <v>431</v>
      </c>
      <c r="E107" s="37" t="s">
        <v>157</v>
      </c>
    </row>
    <row r="108" spans="1:5" ht="14.25" customHeight="1" x14ac:dyDescent="0.3">
      <c r="A108" s="40">
        <v>14</v>
      </c>
      <c r="B108" s="183" t="s">
        <v>138</v>
      </c>
      <c r="C108" s="183" t="s">
        <v>139</v>
      </c>
      <c r="D108" s="183" t="s">
        <v>160</v>
      </c>
      <c r="E108" s="37" t="s">
        <v>157</v>
      </c>
    </row>
    <row r="109" spans="1:5" ht="14.25" customHeight="1" x14ac:dyDescent="0.3">
      <c r="A109" s="40">
        <v>15</v>
      </c>
      <c r="B109" s="183" t="s">
        <v>138</v>
      </c>
      <c r="C109" s="183" t="s">
        <v>139</v>
      </c>
      <c r="D109" s="183" t="s">
        <v>495</v>
      </c>
      <c r="E109" s="37" t="s">
        <v>157</v>
      </c>
    </row>
    <row r="110" spans="1:5" ht="14.25" customHeight="1" x14ac:dyDescent="0.3">
      <c r="A110" s="40">
        <v>16</v>
      </c>
      <c r="B110" s="183" t="s">
        <v>138</v>
      </c>
      <c r="C110" s="183" t="s">
        <v>139</v>
      </c>
      <c r="D110" s="183" t="s">
        <v>496</v>
      </c>
      <c r="E110" s="37" t="s">
        <v>157</v>
      </c>
    </row>
    <row r="111" spans="1:5" ht="12" customHeight="1" x14ac:dyDescent="0.3">
      <c r="A111" s="40">
        <v>17</v>
      </c>
      <c r="B111" s="183" t="s">
        <v>155</v>
      </c>
      <c r="C111" s="183" t="s">
        <v>139</v>
      </c>
      <c r="D111" s="183" t="s">
        <v>482</v>
      </c>
      <c r="E111" s="37" t="s">
        <v>157</v>
      </c>
    </row>
    <row r="112" spans="1:5" ht="14.25" customHeight="1" x14ac:dyDescent="0.3">
      <c r="A112" s="40">
        <v>18</v>
      </c>
      <c r="B112" s="183" t="s">
        <v>155</v>
      </c>
      <c r="C112" s="183" t="s">
        <v>139</v>
      </c>
      <c r="D112" s="183" t="s">
        <v>154</v>
      </c>
      <c r="E112" s="37" t="s">
        <v>157</v>
      </c>
    </row>
    <row r="113" spans="1:5" ht="14.25" customHeight="1" x14ac:dyDescent="0.3">
      <c r="A113" s="40">
        <v>19</v>
      </c>
      <c r="B113" s="183" t="s">
        <v>155</v>
      </c>
      <c r="C113" s="183" t="s">
        <v>139</v>
      </c>
      <c r="D113" s="183" t="s">
        <v>486</v>
      </c>
      <c r="E113" s="37" t="s">
        <v>157</v>
      </c>
    </row>
    <row r="114" spans="1:5" ht="14.25" customHeight="1" x14ac:dyDescent="0.3">
      <c r="A114" s="40">
        <v>20</v>
      </c>
      <c r="B114" s="183" t="s">
        <v>155</v>
      </c>
      <c r="C114" s="183" t="s">
        <v>139</v>
      </c>
      <c r="D114" s="183" t="s">
        <v>490</v>
      </c>
      <c r="E114" s="37" t="s">
        <v>157</v>
      </c>
    </row>
    <row r="115" spans="1:5" ht="14.25" customHeight="1" x14ac:dyDescent="0.3">
      <c r="A115" s="40">
        <v>21</v>
      </c>
      <c r="B115" s="183" t="s">
        <v>155</v>
      </c>
      <c r="C115" s="183" t="s">
        <v>139</v>
      </c>
      <c r="D115" s="183" t="s">
        <v>431</v>
      </c>
      <c r="E115" s="37" t="s">
        <v>157</v>
      </c>
    </row>
    <row r="116" spans="1:5" ht="14.25" customHeight="1" x14ac:dyDescent="0.3">
      <c r="A116" s="40">
        <v>22</v>
      </c>
      <c r="B116" s="183" t="s">
        <v>155</v>
      </c>
      <c r="C116" s="183" t="s">
        <v>139</v>
      </c>
      <c r="D116" s="183" t="s">
        <v>160</v>
      </c>
      <c r="E116" s="37" t="s">
        <v>157</v>
      </c>
    </row>
    <row r="117" spans="1:5" ht="14.25" customHeight="1" x14ac:dyDescent="0.3">
      <c r="A117" s="40">
        <v>23</v>
      </c>
      <c r="B117" s="183" t="s">
        <v>155</v>
      </c>
      <c r="C117" s="183" t="s">
        <v>139</v>
      </c>
      <c r="D117" s="183" t="s">
        <v>495</v>
      </c>
      <c r="E117" s="37" t="s">
        <v>157</v>
      </c>
    </row>
    <row r="118" spans="1:5" ht="14.25" customHeight="1" x14ac:dyDescent="0.3">
      <c r="A118" s="190">
        <v>24</v>
      </c>
      <c r="B118" s="191" t="s">
        <v>155</v>
      </c>
      <c r="C118" s="183" t="s">
        <v>139</v>
      </c>
      <c r="D118" s="191" t="s">
        <v>496</v>
      </c>
      <c r="E118" s="211" t="s">
        <v>157</v>
      </c>
    </row>
    <row r="119" spans="1:5" ht="14.25" customHeight="1" x14ac:dyDescent="0.3">
      <c r="A119" s="192">
        <v>25</v>
      </c>
      <c r="B119" s="193" t="s">
        <v>509</v>
      </c>
      <c r="C119" s="183" t="s">
        <v>139</v>
      </c>
      <c r="D119" s="193" t="s">
        <v>357</v>
      </c>
      <c r="E119" s="33" t="s">
        <v>357</v>
      </c>
    </row>
    <row r="120" spans="1:5" ht="14.25" customHeight="1" x14ac:dyDescent="0.3">
      <c r="A120" s="190">
        <v>26</v>
      </c>
      <c r="B120" s="183" t="s">
        <v>509</v>
      </c>
      <c r="C120" s="183" t="s">
        <v>139</v>
      </c>
      <c r="D120" s="183" t="s">
        <v>357</v>
      </c>
      <c r="E120" s="37" t="s">
        <v>357</v>
      </c>
    </row>
    <row r="121" spans="1:5" ht="14.25" customHeight="1" x14ac:dyDescent="0.3">
      <c r="A121" s="40">
        <v>27</v>
      </c>
      <c r="B121" s="183" t="s">
        <v>509</v>
      </c>
      <c r="C121" s="183" t="s">
        <v>139</v>
      </c>
      <c r="D121" s="183" t="s">
        <v>357</v>
      </c>
      <c r="E121" s="37" t="s">
        <v>357</v>
      </c>
    </row>
    <row r="122" spans="1:5" ht="348" customHeight="1" x14ac:dyDescent="0.3">
      <c r="A122" s="190">
        <v>28</v>
      </c>
      <c r="B122" s="183" t="s">
        <v>509</v>
      </c>
      <c r="C122" s="183" t="s">
        <v>139</v>
      </c>
      <c r="D122" s="183" t="s">
        <v>357</v>
      </c>
      <c r="E122" s="37" t="s">
        <v>357</v>
      </c>
    </row>
    <row r="123" spans="1:5" ht="14.25" customHeight="1" x14ac:dyDescent="0.3">
      <c r="A123" s="40">
        <v>29</v>
      </c>
      <c r="B123" s="183" t="s">
        <v>509</v>
      </c>
      <c r="C123" s="183" t="s">
        <v>139</v>
      </c>
      <c r="D123" s="183" t="s">
        <v>357</v>
      </c>
      <c r="E123" s="37" t="s">
        <v>357</v>
      </c>
    </row>
    <row r="124" spans="1:5" ht="21.75" customHeight="1" x14ac:dyDescent="0.3">
      <c r="A124" s="190">
        <v>30</v>
      </c>
      <c r="B124" s="183" t="s">
        <v>509</v>
      </c>
      <c r="C124" s="183" t="s">
        <v>139</v>
      </c>
      <c r="D124" s="183" t="s">
        <v>357</v>
      </c>
      <c r="E124" s="37" t="s">
        <v>357</v>
      </c>
    </row>
    <row r="125" spans="1:5" ht="27" customHeight="1" x14ac:dyDescent="0.3">
      <c r="A125" s="40">
        <v>31</v>
      </c>
      <c r="B125" s="183" t="s">
        <v>509</v>
      </c>
      <c r="C125" s="183" t="s">
        <v>139</v>
      </c>
      <c r="D125" s="183" t="s">
        <v>357</v>
      </c>
      <c r="E125" s="37" t="s">
        <v>357</v>
      </c>
    </row>
    <row r="126" spans="1:5" ht="14.25" customHeight="1" x14ac:dyDescent="0.3">
      <c r="A126" s="212">
        <v>32</v>
      </c>
      <c r="B126" s="194" t="s">
        <v>509</v>
      </c>
      <c r="C126" s="183" t="s">
        <v>139</v>
      </c>
      <c r="D126" s="194" t="s">
        <v>357</v>
      </c>
      <c r="E126" s="43" t="s">
        <v>357</v>
      </c>
    </row>
    <row r="127" spans="1:5" ht="69" customHeight="1" x14ac:dyDescent="0.3"/>
    <row r="128" spans="1:5" ht="14.25" customHeight="1" x14ac:dyDescent="0.3"/>
    <row r="129" spans="7:7" ht="14.25" customHeight="1" x14ac:dyDescent="0.3">
      <c r="G129" s="160" t="s">
        <v>542</v>
      </c>
    </row>
    <row r="130" spans="7:7" ht="14.25" customHeight="1" x14ac:dyDescent="0.3">
      <c r="G130" s="213" t="s">
        <v>543</v>
      </c>
    </row>
    <row r="131" spans="7:7" ht="14.25" customHeight="1" x14ac:dyDescent="0.3">
      <c r="G131" s="214" t="s">
        <v>544</v>
      </c>
    </row>
    <row r="132" spans="7:7" ht="14.25" customHeight="1" x14ac:dyDescent="0.3">
      <c r="G132" s="120"/>
    </row>
    <row r="133" spans="7:7" ht="14.25" customHeight="1" x14ac:dyDescent="0.3">
      <c r="G133" s="160" t="s">
        <v>545</v>
      </c>
    </row>
    <row r="134" spans="7:7" ht="14.25" customHeight="1" x14ac:dyDescent="0.3">
      <c r="G134" s="215" t="s">
        <v>546</v>
      </c>
    </row>
    <row r="135" spans="7:7" ht="14.25" customHeight="1" x14ac:dyDescent="0.3">
      <c r="G135" s="215" t="s">
        <v>547</v>
      </c>
    </row>
    <row r="136" spans="7:7" ht="14.25" customHeight="1" x14ac:dyDescent="0.3">
      <c r="G136" s="166" t="s">
        <v>548</v>
      </c>
    </row>
    <row r="137" spans="7:7" ht="14.25" customHeight="1" x14ac:dyDescent="0.3"/>
    <row r="138" spans="7:7" ht="14.25" customHeight="1" x14ac:dyDescent="0.3"/>
    <row r="139" spans="7:7" ht="14.25" customHeight="1" x14ac:dyDescent="0.3"/>
    <row r="140" spans="7:7" ht="14.25" customHeight="1" x14ac:dyDescent="0.3"/>
    <row r="141" spans="7:7" ht="14.25" customHeight="1" x14ac:dyDescent="0.3"/>
    <row r="142" spans="7:7" ht="14.25" customHeight="1" x14ac:dyDescent="0.3"/>
    <row r="143" spans="7:7" ht="14.25" customHeight="1" x14ac:dyDescent="0.3"/>
    <row r="144" spans="7:7"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5"/>
  <dimension ref="A1:C1000"/>
  <sheetViews>
    <sheetView workbookViewId="0"/>
  </sheetViews>
  <sheetFormatPr baseColWidth="10" defaultColWidth="14.44140625" defaultRowHeight="15" customHeight="1" x14ac:dyDescent="0.3"/>
  <cols>
    <col min="1" max="1" width="120.6640625" customWidth="1"/>
    <col min="2" max="2" width="24.109375" customWidth="1"/>
    <col min="3" max="3" width="17.44140625" customWidth="1"/>
    <col min="4" max="6" width="10.6640625" customWidth="1"/>
  </cols>
  <sheetData>
    <row r="1" spans="1:3" ht="14.25" customHeight="1" x14ac:dyDescent="0.3">
      <c r="A1" s="25" t="s">
        <v>549</v>
      </c>
    </row>
    <row r="2" spans="1:3" ht="14.25" customHeight="1" x14ac:dyDescent="0.3">
      <c r="A2" s="160"/>
      <c r="B2" s="160" t="s">
        <v>550</v>
      </c>
      <c r="C2" s="160"/>
    </row>
    <row r="3" spans="1:3" ht="14.25" customHeight="1" x14ac:dyDescent="0.3">
      <c r="A3" s="160" t="s">
        <v>42</v>
      </c>
      <c r="B3" s="160" t="s">
        <v>551</v>
      </c>
      <c r="C3" s="160" t="s">
        <v>552</v>
      </c>
    </row>
    <row r="4" spans="1:3" ht="21" customHeight="1" x14ac:dyDescent="0.3">
      <c r="A4" s="216" t="s">
        <v>553</v>
      </c>
      <c r="B4" s="166" t="s">
        <v>146</v>
      </c>
      <c r="C4" s="166" t="s">
        <v>554</v>
      </c>
    </row>
    <row r="5" spans="1:3" ht="14.25" customHeight="1" x14ac:dyDescent="0.3">
      <c r="A5" s="166" t="s">
        <v>555</v>
      </c>
      <c r="B5" s="166" t="s">
        <v>556</v>
      </c>
      <c r="C5" s="166" t="s">
        <v>557</v>
      </c>
    </row>
    <row r="6" spans="1:3" ht="14.25" customHeight="1" x14ac:dyDescent="0.3">
      <c r="A6" s="166" t="s">
        <v>558</v>
      </c>
      <c r="B6" s="166" t="s">
        <v>556</v>
      </c>
      <c r="C6" s="166" t="s">
        <v>559</v>
      </c>
    </row>
    <row r="7" spans="1:3" ht="14.25" customHeight="1" x14ac:dyDescent="0.3">
      <c r="A7" s="166" t="s">
        <v>560</v>
      </c>
      <c r="B7" s="166" t="s">
        <v>561</v>
      </c>
      <c r="C7" s="166" t="s">
        <v>562</v>
      </c>
    </row>
    <row r="8" spans="1:3" ht="14.25" customHeight="1" x14ac:dyDescent="0.3"/>
    <row r="9" spans="1:3" ht="14.25" customHeight="1" x14ac:dyDescent="0.3">
      <c r="A9" s="160" t="s">
        <v>563</v>
      </c>
    </row>
    <row r="10" spans="1:3" ht="14.25" customHeight="1" x14ac:dyDescent="0.3">
      <c r="A10" s="166" t="s">
        <v>564</v>
      </c>
    </row>
    <row r="11" spans="1:3" ht="14.25" customHeight="1" x14ac:dyDescent="0.3"/>
    <row r="12" spans="1:3" ht="14.25" customHeight="1" x14ac:dyDescent="0.3">
      <c r="A12" s="160" t="s">
        <v>565</v>
      </c>
      <c r="B12" s="217"/>
    </row>
    <row r="13" spans="1:3" ht="14.25" customHeight="1" x14ac:dyDescent="0.3">
      <c r="A13" s="166" t="s">
        <v>566</v>
      </c>
    </row>
    <row r="14" spans="1:3" ht="14.25" customHeight="1" x14ac:dyDescent="0.3"/>
    <row r="15" spans="1:3" ht="14.25" customHeight="1" x14ac:dyDescent="0.3">
      <c r="A15" s="160" t="s">
        <v>567</v>
      </c>
    </row>
    <row r="16" spans="1:3" ht="14.25" customHeight="1" x14ac:dyDescent="0.3">
      <c r="A16" s="166" t="s">
        <v>568</v>
      </c>
    </row>
    <row r="17" spans="1:1" ht="14.25" customHeight="1" x14ac:dyDescent="0.3"/>
    <row r="18" spans="1:1" ht="14.25" customHeight="1" x14ac:dyDescent="0.3">
      <c r="A18" s="160" t="s">
        <v>569</v>
      </c>
    </row>
    <row r="19" spans="1:1" ht="14.25" customHeight="1" x14ac:dyDescent="0.3">
      <c r="A19" s="218" t="s">
        <v>570</v>
      </c>
    </row>
    <row r="20" spans="1:1" ht="14.25" customHeight="1" x14ac:dyDescent="0.3"/>
    <row r="21" spans="1:1" ht="14.25" customHeight="1" x14ac:dyDescent="0.3">
      <c r="A21" s="160" t="s">
        <v>571</v>
      </c>
    </row>
    <row r="22" spans="1:1" ht="14.25" customHeight="1" x14ac:dyDescent="0.3">
      <c r="A22" s="166" t="s">
        <v>572</v>
      </c>
    </row>
    <row r="23" spans="1:1" ht="14.25" customHeight="1" x14ac:dyDescent="0.3"/>
    <row r="24" spans="1:1" ht="14.25" customHeight="1" x14ac:dyDescent="0.3">
      <c r="A24" s="160" t="s">
        <v>573</v>
      </c>
    </row>
    <row r="25" spans="1:1" ht="14.25" customHeight="1" x14ac:dyDescent="0.3">
      <c r="A25" s="166" t="s">
        <v>574</v>
      </c>
    </row>
    <row r="26" spans="1:1" ht="14.25" customHeight="1" x14ac:dyDescent="0.3"/>
    <row r="27" spans="1:1" ht="14.25" customHeight="1" x14ac:dyDescent="0.3">
      <c r="A27" s="160" t="s">
        <v>575</v>
      </c>
    </row>
    <row r="28" spans="1:1" ht="14.25" customHeight="1" x14ac:dyDescent="0.3">
      <c r="A28" s="166" t="s">
        <v>576</v>
      </c>
    </row>
    <row r="29" spans="1:1" ht="14.25" customHeight="1" x14ac:dyDescent="0.3"/>
    <row r="30" spans="1:1" ht="14.25" customHeight="1" x14ac:dyDescent="0.3">
      <c r="A30" s="219">
        <v>3.2</v>
      </c>
    </row>
    <row r="31" spans="1:1" ht="14.25" customHeight="1" x14ac:dyDescent="0.3">
      <c r="A31" s="166" t="s">
        <v>577</v>
      </c>
    </row>
    <row r="32" spans="1:1" ht="14.25" customHeight="1" x14ac:dyDescent="0.3"/>
    <row r="33" spans="1:1" ht="14.25" customHeight="1" x14ac:dyDescent="0.3">
      <c r="A33" s="219">
        <v>3.3</v>
      </c>
    </row>
    <row r="34" spans="1:1" ht="60.75" customHeight="1" x14ac:dyDescent="0.3">
      <c r="A34" s="166" t="s">
        <v>578</v>
      </c>
    </row>
    <row r="35" spans="1:1" ht="14.25" customHeight="1" x14ac:dyDescent="0.3"/>
    <row r="36" spans="1:1" ht="14.25" customHeight="1" x14ac:dyDescent="0.3">
      <c r="A36" s="219">
        <v>3.4</v>
      </c>
    </row>
    <row r="37" spans="1:1" ht="14.25" customHeight="1" x14ac:dyDescent="0.3">
      <c r="A37" s="166" t="s">
        <v>579</v>
      </c>
    </row>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16"/>
  <dimension ref="A1:F1000"/>
  <sheetViews>
    <sheetView workbookViewId="0"/>
  </sheetViews>
  <sheetFormatPr baseColWidth="10" defaultColWidth="14.44140625" defaultRowHeight="15" customHeight="1" x14ac:dyDescent="0.3"/>
  <cols>
    <col min="1" max="1" width="15.44140625" customWidth="1"/>
    <col min="2" max="2" width="10.6640625" customWidth="1"/>
    <col min="3" max="3" width="20.109375" customWidth="1"/>
    <col min="4" max="4" width="11.5546875" customWidth="1"/>
    <col min="5" max="5" width="19.6640625" customWidth="1"/>
    <col min="6" max="6" width="14.44140625" customWidth="1"/>
  </cols>
  <sheetData>
    <row r="1" spans="1:6" ht="14.25" customHeight="1" x14ac:dyDescent="0.3">
      <c r="A1" s="25" t="s">
        <v>580</v>
      </c>
    </row>
    <row r="2" spans="1:6" ht="14.25" customHeight="1" x14ac:dyDescent="0.3">
      <c r="A2" s="219" t="s">
        <v>473</v>
      </c>
      <c r="B2" s="219" t="s">
        <v>5</v>
      </c>
      <c r="C2" s="219" t="s">
        <v>581</v>
      </c>
    </row>
    <row r="3" spans="1:6" ht="14.25" customHeight="1" x14ac:dyDescent="0.3">
      <c r="A3" s="220">
        <v>1</v>
      </c>
      <c r="B3" s="221" t="s">
        <v>482</v>
      </c>
      <c r="C3" s="222" t="s">
        <v>526</v>
      </c>
    </row>
    <row r="4" spans="1:6" ht="14.25" customHeight="1" x14ac:dyDescent="0.3">
      <c r="A4" s="223">
        <v>2</v>
      </c>
      <c r="B4" s="144" t="s">
        <v>154</v>
      </c>
      <c r="C4" s="114" t="s">
        <v>526</v>
      </c>
    </row>
    <row r="5" spans="1:6" ht="14.25" customHeight="1" x14ac:dyDescent="0.3">
      <c r="A5" s="223">
        <v>3</v>
      </c>
      <c r="B5" s="144" t="s">
        <v>486</v>
      </c>
      <c r="C5" s="114" t="s">
        <v>148</v>
      </c>
    </row>
    <row r="6" spans="1:6" ht="14.25" customHeight="1" x14ac:dyDescent="0.3">
      <c r="A6" s="223">
        <v>4</v>
      </c>
      <c r="B6" s="144" t="s">
        <v>490</v>
      </c>
      <c r="C6" s="114" t="s">
        <v>148</v>
      </c>
    </row>
    <row r="7" spans="1:6" ht="14.25" customHeight="1" x14ac:dyDescent="0.3">
      <c r="A7" s="223">
        <v>5</v>
      </c>
      <c r="B7" s="144" t="s">
        <v>431</v>
      </c>
      <c r="C7" s="114" t="s">
        <v>148</v>
      </c>
    </row>
    <row r="8" spans="1:6" ht="14.25" customHeight="1" x14ac:dyDescent="0.3">
      <c r="A8" s="223">
        <v>6</v>
      </c>
      <c r="B8" s="144" t="s">
        <v>160</v>
      </c>
      <c r="C8" s="114" t="s">
        <v>582</v>
      </c>
    </row>
    <row r="9" spans="1:6" ht="14.25" customHeight="1" x14ac:dyDescent="0.3">
      <c r="A9" s="223">
        <v>7</v>
      </c>
      <c r="B9" s="144" t="s">
        <v>495</v>
      </c>
      <c r="C9" s="114" t="s">
        <v>582</v>
      </c>
    </row>
    <row r="10" spans="1:6" ht="14.25" customHeight="1" x14ac:dyDescent="0.3">
      <c r="A10" s="224">
        <v>8</v>
      </c>
      <c r="B10" s="225" t="s">
        <v>496</v>
      </c>
      <c r="C10" s="117" t="s">
        <v>582</v>
      </c>
    </row>
    <row r="11" spans="1:6" ht="14.25" customHeight="1" x14ac:dyDescent="0.3"/>
    <row r="12" spans="1:6" ht="14.25" customHeight="1" x14ac:dyDescent="0.3"/>
    <row r="13" spans="1:6" ht="14.25" customHeight="1" x14ac:dyDescent="0.3">
      <c r="A13" s="175" t="s">
        <v>473</v>
      </c>
      <c r="B13" s="176" t="s">
        <v>474</v>
      </c>
      <c r="C13" s="176" t="s">
        <v>475</v>
      </c>
      <c r="D13" s="176" t="s">
        <v>533</v>
      </c>
      <c r="E13" s="176" t="s">
        <v>583</v>
      </c>
      <c r="F13" s="177" t="s">
        <v>533</v>
      </c>
    </row>
    <row r="14" spans="1:6" ht="14.25" customHeight="1" x14ac:dyDescent="0.3">
      <c r="A14" s="192">
        <v>1</v>
      </c>
      <c r="B14" s="193" t="s">
        <v>481</v>
      </c>
      <c r="C14" s="193" t="s">
        <v>482</v>
      </c>
      <c r="D14" s="226" t="s">
        <v>526</v>
      </c>
      <c r="E14" s="227" t="s">
        <v>584</v>
      </c>
      <c r="F14" s="228" t="s">
        <v>526</v>
      </c>
    </row>
    <row r="15" spans="1:6" ht="14.25" customHeight="1" x14ac:dyDescent="0.3">
      <c r="A15" s="40">
        <v>2</v>
      </c>
      <c r="B15" s="183" t="s">
        <v>481</v>
      </c>
      <c r="C15" s="183" t="s">
        <v>154</v>
      </c>
      <c r="D15" s="144" t="s">
        <v>526</v>
      </c>
      <c r="E15" s="229" t="s">
        <v>584</v>
      </c>
      <c r="F15" s="230" t="s">
        <v>526</v>
      </c>
    </row>
    <row r="16" spans="1:6" ht="14.25" customHeight="1" x14ac:dyDescent="0.3">
      <c r="A16" s="178">
        <v>3</v>
      </c>
      <c r="B16" s="183" t="s">
        <v>481</v>
      </c>
      <c r="C16" s="183" t="s">
        <v>486</v>
      </c>
      <c r="D16" s="144" t="s">
        <v>148</v>
      </c>
      <c r="E16" s="229" t="s">
        <v>584</v>
      </c>
      <c r="F16" s="231" t="s">
        <v>526</v>
      </c>
    </row>
    <row r="17" spans="1:6" ht="14.25" customHeight="1" x14ac:dyDescent="0.3">
      <c r="A17" s="40">
        <v>4</v>
      </c>
      <c r="B17" s="183" t="s">
        <v>481</v>
      </c>
      <c r="C17" s="183" t="s">
        <v>490</v>
      </c>
      <c r="D17" s="144" t="s">
        <v>148</v>
      </c>
      <c r="E17" s="229" t="s">
        <v>584</v>
      </c>
      <c r="F17" s="231" t="s">
        <v>526</v>
      </c>
    </row>
    <row r="18" spans="1:6" ht="14.25" customHeight="1" x14ac:dyDescent="0.3">
      <c r="A18" s="178">
        <v>5</v>
      </c>
      <c r="B18" s="183" t="s">
        <v>481</v>
      </c>
      <c r="C18" s="183" t="s">
        <v>431</v>
      </c>
      <c r="D18" s="144" t="s">
        <v>148</v>
      </c>
      <c r="E18" s="229" t="s">
        <v>584</v>
      </c>
      <c r="F18" s="231" t="s">
        <v>526</v>
      </c>
    </row>
    <row r="19" spans="1:6" ht="14.25" customHeight="1" x14ac:dyDescent="0.3">
      <c r="A19" s="40">
        <v>6</v>
      </c>
      <c r="B19" s="183" t="s">
        <v>481</v>
      </c>
      <c r="C19" s="183" t="s">
        <v>160</v>
      </c>
      <c r="D19" s="144" t="s">
        <v>582</v>
      </c>
      <c r="E19" s="229" t="s">
        <v>584</v>
      </c>
      <c r="F19" s="231" t="s">
        <v>526</v>
      </c>
    </row>
    <row r="20" spans="1:6" ht="14.25" customHeight="1" x14ac:dyDescent="0.3">
      <c r="A20" s="178">
        <v>7</v>
      </c>
      <c r="B20" s="183" t="s">
        <v>481</v>
      </c>
      <c r="C20" s="183" t="s">
        <v>495</v>
      </c>
      <c r="D20" s="144" t="s">
        <v>582</v>
      </c>
      <c r="E20" s="229" t="s">
        <v>584</v>
      </c>
      <c r="F20" s="231" t="s">
        <v>526</v>
      </c>
    </row>
    <row r="21" spans="1:6" ht="14.25" customHeight="1" x14ac:dyDescent="0.3">
      <c r="A21" s="40">
        <v>8</v>
      </c>
      <c r="B21" s="183" t="s">
        <v>481</v>
      </c>
      <c r="C21" s="183" t="s">
        <v>496</v>
      </c>
      <c r="D21" s="144" t="s">
        <v>582</v>
      </c>
      <c r="E21" s="229" t="s">
        <v>584</v>
      </c>
      <c r="F21" s="230" t="s">
        <v>466</v>
      </c>
    </row>
    <row r="22" spans="1:6" ht="14.25" customHeight="1" x14ac:dyDescent="0.3">
      <c r="A22" s="178">
        <v>9</v>
      </c>
      <c r="B22" s="183" t="s">
        <v>497</v>
      </c>
      <c r="C22" s="183" t="s">
        <v>482</v>
      </c>
      <c r="D22" s="144" t="s">
        <v>526</v>
      </c>
      <c r="E22" s="229" t="s">
        <v>584</v>
      </c>
      <c r="F22" s="230" t="s">
        <v>526</v>
      </c>
    </row>
    <row r="23" spans="1:6" ht="14.25" customHeight="1" x14ac:dyDescent="0.3">
      <c r="A23" s="40">
        <v>10</v>
      </c>
      <c r="B23" s="183" t="s">
        <v>497</v>
      </c>
      <c r="C23" s="183" t="s">
        <v>154</v>
      </c>
      <c r="D23" s="144" t="s">
        <v>526</v>
      </c>
      <c r="E23" s="229" t="s">
        <v>584</v>
      </c>
      <c r="F23" s="230" t="s">
        <v>526</v>
      </c>
    </row>
    <row r="24" spans="1:6" ht="14.25" customHeight="1" x14ac:dyDescent="0.3">
      <c r="A24" s="178">
        <v>11</v>
      </c>
      <c r="B24" s="183" t="s">
        <v>497</v>
      </c>
      <c r="C24" s="183" t="s">
        <v>486</v>
      </c>
      <c r="D24" s="144" t="s">
        <v>148</v>
      </c>
      <c r="E24" s="229" t="s">
        <v>584</v>
      </c>
      <c r="F24" s="230" t="s">
        <v>148</v>
      </c>
    </row>
    <row r="25" spans="1:6" ht="14.25" customHeight="1" x14ac:dyDescent="0.3">
      <c r="A25" s="40">
        <v>12</v>
      </c>
      <c r="B25" s="183" t="s">
        <v>497</v>
      </c>
      <c r="C25" s="183" t="s">
        <v>490</v>
      </c>
      <c r="D25" s="144" t="s">
        <v>148</v>
      </c>
      <c r="E25" s="229" t="s">
        <v>584</v>
      </c>
      <c r="F25" s="230" t="s">
        <v>148</v>
      </c>
    </row>
    <row r="26" spans="1:6" ht="14.25" customHeight="1" x14ac:dyDescent="0.3">
      <c r="A26" s="178">
        <v>13</v>
      </c>
      <c r="B26" s="183" t="s">
        <v>497</v>
      </c>
      <c r="C26" s="183" t="s">
        <v>431</v>
      </c>
      <c r="D26" s="144" t="s">
        <v>148</v>
      </c>
      <c r="E26" s="229" t="s">
        <v>584</v>
      </c>
      <c r="F26" s="230" t="s">
        <v>148</v>
      </c>
    </row>
    <row r="27" spans="1:6" ht="14.25" customHeight="1" x14ac:dyDescent="0.3">
      <c r="A27" s="40">
        <v>14</v>
      </c>
      <c r="B27" s="183" t="s">
        <v>497</v>
      </c>
      <c r="C27" s="183" t="s">
        <v>160</v>
      </c>
      <c r="D27" s="144" t="s">
        <v>582</v>
      </c>
      <c r="E27" s="229" t="s">
        <v>584</v>
      </c>
      <c r="F27" s="231" t="s">
        <v>526</v>
      </c>
    </row>
    <row r="28" spans="1:6" ht="14.25" customHeight="1" x14ac:dyDescent="0.3">
      <c r="A28" s="178">
        <v>15</v>
      </c>
      <c r="B28" s="183" t="s">
        <v>497</v>
      </c>
      <c r="C28" s="183" t="s">
        <v>495</v>
      </c>
      <c r="D28" s="144" t="s">
        <v>582</v>
      </c>
      <c r="E28" s="229" t="s">
        <v>584</v>
      </c>
      <c r="F28" s="231" t="s">
        <v>526</v>
      </c>
    </row>
    <row r="29" spans="1:6" ht="14.25" customHeight="1" x14ac:dyDescent="0.3">
      <c r="A29" s="40">
        <v>16</v>
      </c>
      <c r="B29" s="183" t="s">
        <v>497</v>
      </c>
      <c r="C29" s="183" t="s">
        <v>496</v>
      </c>
      <c r="D29" s="144" t="s">
        <v>582</v>
      </c>
      <c r="E29" s="229" t="s">
        <v>584</v>
      </c>
      <c r="F29" s="231" t="s">
        <v>526</v>
      </c>
    </row>
    <row r="30" spans="1:6" ht="14.25" customHeight="1" x14ac:dyDescent="0.3">
      <c r="A30" s="178">
        <v>17</v>
      </c>
      <c r="B30" s="183" t="s">
        <v>138</v>
      </c>
      <c r="C30" s="183" t="s">
        <v>482</v>
      </c>
      <c r="D30" s="144" t="s">
        <v>526</v>
      </c>
      <c r="E30" s="229" t="s">
        <v>584</v>
      </c>
      <c r="F30" s="230" t="s">
        <v>526</v>
      </c>
    </row>
    <row r="31" spans="1:6" ht="14.25" customHeight="1" x14ac:dyDescent="0.3">
      <c r="A31" s="40">
        <v>18</v>
      </c>
      <c r="B31" s="183" t="s">
        <v>138</v>
      </c>
      <c r="C31" s="183" t="s">
        <v>154</v>
      </c>
      <c r="D31" s="144" t="s">
        <v>526</v>
      </c>
      <c r="E31" s="229" t="s">
        <v>584</v>
      </c>
      <c r="F31" s="230" t="s">
        <v>526</v>
      </c>
    </row>
    <row r="32" spans="1:6" ht="14.25" customHeight="1" x14ac:dyDescent="0.3">
      <c r="A32" s="178">
        <v>19</v>
      </c>
      <c r="B32" s="183" t="s">
        <v>138</v>
      </c>
      <c r="C32" s="183" t="s">
        <v>486</v>
      </c>
      <c r="D32" s="144" t="s">
        <v>148</v>
      </c>
      <c r="E32" s="229" t="s">
        <v>584</v>
      </c>
      <c r="F32" s="230" t="s">
        <v>526</v>
      </c>
    </row>
    <row r="33" spans="1:6" ht="14.25" customHeight="1" x14ac:dyDescent="0.3">
      <c r="A33" s="40">
        <v>20</v>
      </c>
      <c r="B33" s="183" t="s">
        <v>138</v>
      </c>
      <c r="C33" s="183" t="s">
        <v>490</v>
      </c>
      <c r="D33" s="144" t="s">
        <v>148</v>
      </c>
      <c r="E33" s="229" t="s">
        <v>584</v>
      </c>
      <c r="F33" s="230" t="s">
        <v>526</v>
      </c>
    </row>
    <row r="34" spans="1:6" ht="14.25" customHeight="1" x14ac:dyDescent="0.3">
      <c r="A34" s="178">
        <v>21</v>
      </c>
      <c r="B34" s="183" t="s">
        <v>138</v>
      </c>
      <c r="C34" s="183" t="s">
        <v>431</v>
      </c>
      <c r="D34" s="144" t="s">
        <v>148</v>
      </c>
      <c r="E34" s="229" t="s">
        <v>584</v>
      </c>
      <c r="F34" s="230" t="s">
        <v>526</v>
      </c>
    </row>
    <row r="35" spans="1:6" ht="14.25" customHeight="1" x14ac:dyDescent="0.3">
      <c r="A35" s="40">
        <v>22</v>
      </c>
      <c r="B35" s="183" t="s">
        <v>138</v>
      </c>
      <c r="C35" s="183" t="s">
        <v>160</v>
      </c>
      <c r="D35" s="144" t="s">
        <v>582</v>
      </c>
      <c r="E35" s="229" t="s">
        <v>584</v>
      </c>
      <c r="F35" s="230" t="s">
        <v>148</v>
      </c>
    </row>
    <row r="36" spans="1:6" ht="14.25" customHeight="1" x14ac:dyDescent="0.3">
      <c r="A36" s="178">
        <v>23</v>
      </c>
      <c r="B36" s="183" t="s">
        <v>138</v>
      </c>
      <c r="C36" s="183" t="s">
        <v>495</v>
      </c>
      <c r="D36" s="144" t="s">
        <v>582</v>
      </c>
      <c r="E36" s="229" t="s">
        <v>584</v>
      </c>
      <c r="F36" s="230" t="s">
        <v>148</v>
      </c>
    </row>
    <row r="37" spans="1:6" ht="14.25" customHeight="1" x14ac:dyDescent="0.3">
      <c r="A37" s="40">
        <v>24</v>
      </c>
      <c r="B37" s="183" t="s">
        <v>138</v>
      </c>
      <c r="C37" s="183" t="s">
        <v>496</v>
      </c>
      <c r="D37" s="144" t="s">
        <v>582</v>
      </c>
      <c r="E37" s="229" t="s">
        <v>584</v>
      </c>
      <c r="F37" s="230" t="s">
        <v>148</v>
      </c>
    </row>
    <row r="38" spans="1:6" ht="14.25" customHeight="1" x14ac:dyDescent="0.3">
      <c r="A38" s="178">
        <v>25</v>
      </c>
      <c r="B38" s="183" t="s">
        <v>155</v>
      </c>
      <c r="C38" s="183" t="s">
        <v>482</v>
      </c>
      <c r="D38" s="144" t="s">
        <v>526</v>
      </c>
      <c r="E38" s="229" t="s">
        <v>584</v>
      </c>
      <c r="F38" s="230" t="s">
        <v>526</v>
      </c>
    </row>
    <row r="39" spans="1:6" ht="14.25" customHeight="1" x14ac:dyDescent="0.3">
      <c r="A39" s="40">
        <v>26</v>
      </c>
      <c r="B39" s="183" t="s">
        <v>155</v>
      </c>
      <c r="C39" s="183" t="s">
        <v>154</v>
      </c>
      <c r="D39" s="144" t="s">
        <v>526</v>
      </c>
      <c r="E39" s="229" t="s">
        <v>584</v>
      </c>
      <c r="F39" s="230" t="s">
        <v>526</v>
      </c>
    </row>
    <row r="40" spans="1:6" ht="14.25" customHeight="1" x14ac:dyDescent="0.3">
      <c r="A40" s="178">
        <v>27</v>
      </c>
      <c r="B40" s="183" t="s">
        <v>155</v>
      </c>
      <c r="C40" s="183" t="s">
        <v>486</v>
      </c>
      <c r="D40" s="144" t="s">
        <v>148</v>
      </c>
      <c r="E40" s="229" t="s">
        <v>584</v>
      </c>
      <c r="F40" s="230" t="s">
        <v>526</v>
      </c>
    </row>
    <row r="41" spans="1:6" ht="14.25" customHeight="1" x14ac:dyDescent="0.3">
      <c r="A41" s="40">
        <v>28</v>
      </c>
      <c r="B41" s="183" t="s">
        <v>155</v>
      </c>
      <c r="C41" s="183" t="s">
        <v>490</v>
      </c>
      <c r="D41" s="144" t="s">
        <v>148</v>
      </c>
      <c r="E41" s="229" t="s">
        <v>584</v>
      </c>
      <c r="F41" s="230" t="s">
        <v>526</v>
      </c>
    </row>
    <row r="42" spans="1:6" ht="14.25" customHeight="1" x14ac:dyDescent="0.3">
      <c r="A42" s="178">
        <v>29</v>
      </c>
      <c r="B42" s="183" t="s">
        <v>155</v>
      </c>
      <c r="C42" s="183" t="s">
        <v>431</v>
      </c>
      <c r="D42" s="144" t="s">
        <v>148</v>
      </c>
      <c r="E42" s="229" t="s">
        <v>584</v>
      </c>
      <c r="F42" s="230" t="s">
        <v>526</v>
      </c>
    </row>
    <row r="43" spans="1:6" ht="14.25" customHeight="1" x14ac:dyDescent="0.3">
      <c r="A43" s="40">
        <v>30</v>
      </c>
      <c r="B43" s="183" t="s">
        <v>155</v>
      </c>
      <c r="C43" s="183" t="s">
        <v>160</v>
      </c>
      <c r="D43" s="144" t="s">
        <v>582</v>
      </c>
      <c r="E43" s="229" t="s">
        <v>584</v>
      </c>
      <c r="F43" s="230" t="s">
        <v>526</v>
      </c>
    </row>
    <row r="44" spans="1:6" ht="14.25" customHeight="1" x14ac:dyDescent="0.3">
      <c r="A44" s="178">
        <v>31</v>
      </c>
      <c r="B44" s="183" t="s">
        <v>155</v>
      </c>
      <c r="C44" s="183" t="s">
        <v>495</v>
      </c>
      <c r="D44" s="144" t="s">
        <v>582</v>
      </c>
      <c r="E44" s="229" t="s">
        <v>584</v>
      </c>
      <c r="F44" s="230" t="s">
        <v>526</v>
      </c>
    </row>
    <row r="45" spans="1:6" ht="14.25" customHeight="1" x14ac:dyDescent="0.3">
      <c r="A45" s="40">
        <v>32</v>
      </c>
      <c r="B45" s="183" t="s">
        <v>155</v>
      </c>
      <c r="C45" s="183" t="s">
        <v>496</v>
      </c>
      <c r="D45" s="144" t="s">
        <v>582</v>
      </c>
      <c r="E45" s="229" t="s">
        <v>584</v>
      </c>
      <c r="F45" s="230" t="s">
        <v>526</v>
      </c>
    </row>
    <row r="46" spans="1:6" ht="14.25" customHeight="1" x14ac:dyDescent="0.3">
      <c r="A46" s="178">
        <v>33</v>
      </c>
      <c r="B46" s="183" t="s">
        <v>509</v>
      </c>
      <c r="C46" s="183" t="s">
        <v>482</v>
      </c>
      <c r="D46" s="144" t="s">
        <v>487</v>
      </c>
      <c r="E46" s="229" t="s">
        <v>584</v>
      </c>
      <c r="F46" s="114" t="s">
        <v>487</v>
      </c>
    </row>
    <row r="47" spans="1:6" ht="14.25" customHeight="1" x14ac:dyDescent="0.3">
      <c r="A47" s="40">
        <v>34</v>
      </c>
      <c r="B47" s="183" t="s">
        <v>509</v>
      </c>
      <c r="C47" s="183" t="s">
        <v>154</v>
      </c>
      <c r="D47" s="144" t="s">
        <v>487</v>
      </c>
      <c r="E47" s="229" t="s">
        <v>584</v>
      </c>
      <c r="F47" s="114" t="s">
        <v>487</v>
      </c>
    </row>
    <row r="48" spans="1:6" ht="14.25" customHeight="1" x14ac:dyDescent="0.3">
      <c r="A48" s="178">
        <v>35</v>
      </c>
      <c r="B48" s="183" t="s">
        <v>509</v>
      </c>
      <c r="C48" s="183" t="s">
        <v>486</v>
      </c>
      <c r="D48" s="144" t="s">
        <v>487</v>
      </c>
      <c r="E48" s="229" t="s">
        <v>584</v>
      </c>
      <c r="F48" s="114" t="s">
        <v>487</v>
      </c>
    </row>
    <row r="49" spans="1:6" ht="14.25" customHeight="1" x14ac:dyDescent="0.3">
      <c r="A49" s="40">
        <v>36</v>
      </c>
      <c r="B49" s="183" t="s">
        <v>509</v>
      </c>
      <c r="C49" s="183" t="s">
        <v>490</v>
      </c>
      <c r="D49" s="144" t="s">
        <v>487</v>
      </c>
      <c r="E49" s="229" t="s">
        <v>584</v>
      </c>
      <c r="F49" s="114" t="s">
        <v>487</v>
      </c>
    </row>
    <row r="50" spans="1:6" ht="14.25" customHeight="1" x14ac:dyDescent="0.3">
      <c r="A50" s="178">
        <v>37</v>
      </c>
      <c r="B50" s="183" t="s">
        <v>509</v>
      </c>
      <c r="C50" s="183" t="s">
        <v>431</v>
      </c>
      <c r="D50" s="144" t="s">
        <v>487</v>
      </c>
      <c r="E50" s="229" t="s">
        <v>584</v>
      </c>
      <c r="F50" s="114" t="s">
        <v>487</v>
      </c>
    </row>
    <row r="51" spans="1:6" ht="14.25" customHeight="1" x14ac:dyDescent="0.3">
      <c r="A51" s="40">
        <v>38</v>
      </c>
      <c r="B51" s="183" t="s">
        <v>509</v>
      </c>
      <c r="C51" s="183" t="s">
        <v>160</v>
      </c>
      <c r="D51" s="144" t="s">
        <v>487</v>
      </c>
      <c r="E51" s="229" t="s">
        <v>584</v>
      </c>
      <c r="F51" s="114" t="s">
        <v>487</v>
      </c>
    </row>
    <row r="52" spans="1:6" ht="14.25" customHeight="1" x14ac:dyDescent="0.3">
      <c r="A52" s="178">
        <v>39</v>
      </c>
      <c r="B52" s="183" t="s">
        <v>509</v>
      </c>
      <c r="C52" s="183" t="s">
        <v>495</v>
      </c>
      <c r="D52" s="144" t="s">
        <v>487</v>
      </c>
      <c r="E52" s="229" t="s">
        <v>584</v>
      </c>
      <c r="F52" s="114" t="s">
        <v>487</v>
      </c>
    </row>
    <row r="53" spans="1:6" ht="14.25" customHeight="1" x14ac:dyDescent="0.3">
      <c r="A53" s="212">
        <v>40</v>
      </c>
      <c r="B53" s="194" t="s">
        <v>509</v>
      </c>
      <c r="C53" s="194" t="s">
        <v>496</v>
      </c>
      <c r="D53" s="225" t="s">
        <v>487</v>
      </c>
      <c r="E53" s="232" t="s">
        <v>584</v>
      </c>
      <c r="F53" s="117" t="s">
        <v>487</v>
      </c>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41.25" customHeight="1" x14ac:dyDescent="0.3"/>
    <row r="80" ht="14.25" customHeight="1" x14ac:dyDescent="0.3"/>
    <row r="81" spans="1:2" ht="14.25" customHeight="1" x14ac:dyDescent="0.3"/>
    <row r="82" spans="1:2" ht="14.25" customHeight="1" x14ac:dyDescent="0.3"/>
    <row r="83" spans="1:2" ht="14.25" customHeight="1" x14ac:dyDescent="0.3"/>
    <row r="84" spans="1:2" ht="14.25" customHeight="1" x14ac:dyDescent="0.3"/>
    <row r="85" spans="1:2" ht="14.25" customHeight="1" x14ac:dyDescent="0.3"/>
    <row r="86" spans="1:2" ht="14.25" customHeight="1" x14ac:dyDescent="0.3"/>
    <row r="87" spans="1:2" ht="14.25" customHeight="1" x14ac:dyDescent="0.3"/>
    <row r="88" spans="1:2" ht="14.25" customHeight="1" x14ac:dyDescent="0.3"/>
    <row r="89" spans="1:2" ht="14.25" customHeight="1" x14ac:dyDescent="0.3"/>
    <row r="90" spans="1:2" ht="14.25" customHeight="1" x14ac:dyDescent="0.3"/>
    <row r="91" spans="1:2" ht="14.25" customHeight="1" x14ac:dyDescent="0.3"/>
    <row r="92" spans="1:2" ht="14.25" customHeight="1" x14ac:dyDescent="0.3"/>
    <row r="93" spans="1:2" ht="14.25" customHeight="1" x14ac:dyDescent="0.3"/>
    <row r="94" spans="1:2" ht="14.25" customHeight="1" x14ac:dyDescent="0.3"/>
    <row r="95" spans="1:2" ht="14.25" customHeight="1" x14ac:dyDescent="0.3">
      <c r="A95" s="233" t="s">
        <v>585</v>
      </c>
      <c r="B95" s="234" t="s">
        <v>586</v>
      </c>
    </row>
    <row r="96" spans="1:2"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7"/>
  <dimension ref="A1:K1000"/>
  <sheetViews>
    <sheetView workbookViewId="0"/>
  </sheetViews>
  <sheetFormatPr baseColWidth="10" defaultColWidth="14.44140625" defaultRowHeight="15" customHeight="1" x14ac:dyDescent="0.3"/>
  <cols>
    <col min="1" max="1" width="109.6640625" customWidth="1"/>
    <col min="2" max="11" width="10.6640625" customWidth="1"/>
  </cols>
  <sheetData>
    <row r="1" spans="1:11" ht="14.25" customHeight="1" x14ac:dyDescent="0.3">
      <c r="A1" s="219">
        <v>4.0999999999999996</v>
      </c>
    </row>
    <row r="2" spans="1:11" ht="90" customHeight="1" x14ac:dyDescent="0.3">
      <c r="A2" s="166" t="s">
        <v>587</v>
      </c>
      <c r="K2" s="25" t="e">
        <f ca="1">_xludf.CONCAT(A1:A9)</f>
        <v>#NAME?</v>
      </c>
    </row>
    <row r="3" spans="1:11" ht="14.25" customHeight="1" x14ac:dyDescent="0.3"/>
    <row r="4" spans="1:11" ht="14.25" customHeight="1" x14ac:dyDescent="0.3">
      <c r="A4" s="219">
        <v>4.2</v>
      </c>
    </row>
    <row r="5" spans="1:11" ht="14.25" customHeight="1" x14ac:dyDescent="0.3">
      <c r="A5" s="166" t="s">
        <v>588</v>
      </c>
    </row>
    <row r="6" spans="1:11" ht="14.25" customHeight="1" x14ac:dyDescent="0.3"/>
    <row r="7" spans="1:11" ht="14.25" customHeight="1" x14ac:dyDescent="0.3"/>
    <row r="8" spans="1:11" ht="14.25" customHeight="1" x14ac:dyDescent="0.3"/>
    <row r="9" spans="1:11" ht="14.25" customHeight="1" x14ac:dyDescent="0.3"/>
    <row r="10" spans="1:11" ht="14.25" customHeight="1" x14ac:dyDescent="0.3"/>
    <row r="11" spans="1:11" ht="14.25" customHeight="1" x14ac:dyDescent="0.3"/>
    <row r="12" spans="1:11" ht="14.25" customHeight="1" x14ac:dyDescent="0.3"/>
    <row r="13" spans="1:11" ht="14.25" customHeight="1" x14ac:dyDescent="0.3"/>
    <row r="14" spans="1:11" ht="14.25" customHeight="1" x14ac:dyDescent="0.3"/>
    <row r="15" spans="1:11" ht="14.25" customHeight="1" x14ac:dyDescent="0.3"/>
    <row r="16" spans="1: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8"/>
  <dimension ref="A1:G1000"/>
  <sheetViews>
    <sheetView workbookViewId="0"/>
  </sheetViews>
  <sheetFormatPr baseColWidth="10" defaultColWidth="14.44140625" defaultRowHeight="15" customHeight="1" x14ac:dyDescent="0.3"/>
  <cols>
    <col min="1" max="1" width="17.33203125" customWidth="1"/>
    <col min="2" max="6" width="10.6640625" customWidth="1"/>
    <col min="7" max="7" width="77.44140625" customWidth="1"/>
  </cols>
  <sheetData>
    <row r="1" spans="1:7" ht="14.25" customHeight="1" x14ac:dyDescent="0.3">
      <c r="A1" s="25" t="s">
        <v>589</v>
      </c>
      <c r="G1" s="235" t="s">
        <v>590</v>
      </c>
    </row>
    <row r="2" spans="1:7" ht="30.75" customHeight="1" x14ac:dyDescent="0.3">
      <c r="A2" s="236" t="s">
        <v>591</v>
      </c>
      <c r="B2" s="237" t="s">
        <v>592</v>
      </c>
      <c r="G2" s="238" t="s">
        <v>593</v>
      </c>
    </row>
    <row r="3" spans="1:7" ht="56.25" customHeight="1" x14ac:dyDescent="0.3">
      <c r="A3" s="239" t="s">
        <v>594</v>
      </c>
      <c r="B3" s="37" t="s">
        <v>595</v>
      </c>
      <c r="G3" s="240" t="s">
        <v>596</v>
      </c>
    </row>
    <row r="4" spans="1:7" ht="14.25" customHeight="1" x14ac:dyDescent="0.3">
      <c r="A4" s="239" t="s">
        <v>597</v>
      </c>
      <c r="B4" s="43" t="s">
        <v>598</v>
      </c>
    </row>
    <row r="5" spans="1:7" ht="14.25" customHeight="1" x14ac:dyDescent="0.3">
      <c r="A5" s="212" t="s">
        <v>599</v>
      </c>
      <c r="B5" s="43" t="s">
        <v>561</v>
      </c>
      <c r="G5" s="241">
        <v>1.6</v>
      </c>
    </row>
    <row r="6" spans="1:7" ht="14.25" customHeight="1" x14ac:dyDescent="0.3">
      <c r="G6" s="166" t="s">
        <v>600</v>
      </c>
    </row>
    <row r="7" spans="1:7" ht="14.25" customHeight="1" x14ac:dyDescent="0.3"/>
    <row r="8" spans="1:7" ht="14.25" customHeight="1" x14ac:dyDescent="0.3">
      <c r="A8" s="25" t="s">
        <v>601</v>
      </c>
      <c r="G8" s="219">
        <v>1.7</v>
      </c>
    </row>
    <row r="9" spans="1:7" ht="14.25" customHeight="1" x14ac:dyDescent="0.3">
      <c r="A9" s="236" t="s">
        <v>591</v>
      </c>
      <c r="B9" s="237" t="s">
        <v>592</v>
      </c>
      <c r="G9" s="166" t="s">
        <v>602</v>
      </c>
    </row>
    <row r="10" spans="1:7" ht="14.25" customHeight="1" x14ac:dyDescent="0.3">
      <c r="A10" s="239" t="s">
        <v>594</v>
      </c>
      <c r="B10" s="37" t="s">
        <v>595</v>
      </c>
    </row>
    <row r="11" spans="1:7" ht="14.25" customHeight="1" x14ac:dyDescent="0.3">
      <c r="A11" s="239" t="s">
        <v>603</v>
      </c>
      <c r="B11" s="37" t="s">
        <v>598</v>
      </c>
    </row>
    <row r="12" spans="1:7" ht="14.25" customHeight="1" x14ac:dyDescent="0.3">
      <c r="A12" s="212" t="s">
        <v>604</v>
      </c>
      <c r="B12" s="43" t="s">
        <v>605</v>
      </c>
    </row>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0"/>
  <dimension ref="A1:K1000"/>
  <sheetViews>
    <sheetView workbookViewId="0"/>
  </sheetViews>
  <sheetFormatPr baseColWidth="10" defaultColWidth="14.44140625" defaultRowHeight="15" customHeight="1" x14ac:dyDescent="0.3"/>
  <cols>
    <col min="1" max="1" width="38.33203125" customWidth="1"/>
    <col min="2" max="2" width="21.33203125" customWidth="1"/>
    <col min="3" max="3" width="31.88671875" customWidth="1"/>
    <col min="4" max="4" width="29" customWidth="1"/>
    <col min="5" max="6" width="10.6640625" customWidth="1"/>
    <col min="7" max="7" width="64.109375" customWidth="1"/>
    <col min="8" max="9" width="10.6640625" customWidth="1"/>
    <col min="10" max="10" width="51.6640625" customWidth="1"/>
    <col min="11" max="11" width="10.6640625" customWidth="1"/>
  </cols>
  <sheetData>
    <row r="1" spans="1:11" ht="14.25" customHeight="1" x14ac:dyDescent="0.3">
      <c r="A1" s="25" t="s">
        <v>606</v>
      </c>
    </row>
    <row r="2" spans="1:11" ht="14.25" customHeight="1" x14ac:dyDescent="0.3">
      <c r="A2" s="242"/>
      <c r="B2" s="243" t="s">
        <v>607</v>
      </c>
      <c r="C2" s="243" t="s">
        <v>608</v>
      </c>
      <c r="D2" s="244"/>
      <c r="G2" s="245" t="s">
        <v>609</v>
      </c>
      <c r="H2" s="246" t="s">
        <v>480</v>
      </c>
      <c r="J2" s="247" t="s">
        <v>72</v>
      </c>
    </row>
    <row r="3" spans="1:11" ht="71.25" customHeight="1" x14ac:dyDescent="0.3">
      <c r="A3" s="248" t="s">
        <v>5</v>
      </c>
      <c r="B3" s="249" t="s">
        <v>610</v>
      </c>
      <c r="C3" s="249" t="s">
        <v>611</v>
      </c>
      <c r="D3" s="250" t="s">
        <v>612</v>
      </c>
      <c r="G3" s="192" t="s">
        <v>613</v>
      </c>
      <c r="H3" s="33">
        <v>1.25</v>
      </c>
      <c r="J3" s="166" t="s">
        <v>614</v>
      </c>
    </row>
    <row r="4" spans="1:11" ht="14.25" customHeight="1" x14ac:dyDescent="0.3">
      <c r="A4" s="178" t="s">
        <v>482</v>
      </c>
      <c r="B4" s="179">
        <v>50</v>
      </c>
      <c r="C4" s="179">
        <v>50</v>
      </c>
      <c r="D4" s="180">
        <v>65</v>
      </c>
      <c r="G4" s="40" t="s">
        <v>615</v>
      </c>
      <c r="H4" s="37">
        <v>1.25</v>
      </c>
      <c r="J4" s="247" t="s">
        <v>74</v>
      </c>
    </row>
    <row r="5" spans="1:11" ht="78" customHeight="1" x14ac:dyDescent="0.3">
      <c r="A5" s="40" t="s">
        <v>154</v>
      </c>
      <c r="B5" s="183">
        <v>50</v>
      </c>
      <c r="C5" s="183">
        <v>35</v>
      </c>
      <c r="D5" s="37">
        <v>65</v>
      </c>
      <c r="G5" s="212" t="s">
        <v>616</v>
      </c>
      <c r="H5" s="43">
        <v>2</v>
      </c>
      <c r="I5" s="25" t="s">
        <v>617</v>
      </c>
      <c r="J5" s="166" t="s">
        <v>618</v>
      </c>
    </row>
    <row r="6" spans="1:11" ht="14.25" customHeight="1" x14ac:dyDescent="0.3">
      <c r="A6" s="40" t="s">
        <v>486</v>
      </c>
      <c r="B6" s="183">
        <v>35</v>
      </c>
      <c r="C6" s="183">
        <v>35</v>
      </c>
      <c r="D6" s="37">
        <v>50</v>
      </c>
      <c r="J6" s="247" t="s">
        <v>77</v>
      </c>
    </row>
    <row r="7" spans="1:11" ht="14.25" customHeight="1" x14ac:dyDescent="0.3">
      <c r="A7" s="40" t="s">
        <v>490</v>
      </c>
      <c r="B7" s="183">
        <v>35</v>
      </c>
      <c r="C7" s="183">
        <v>35</v>
      </c>
      <c r="D7" s="37">
        <v>50</v>
      </c>
      <c r="J7" s="251" t="s">
        <v>619</v>
      </c>
      <c r="K7" s="25" t="e">
        <f ca="1">_xludf.CONCAT(J8:J15)</f>
        <v>#NAME?</v>
      </c>
    </row>
    <row r="8" spans="1:11" ht="14.25" customHeight="1" x14ac:dyDescent="0.3">
      <c r="A8" s="40" t="s">
        <v>431</v>
      </c>
      <c r="B8" s="183">
        <v>35</v>
      </c>
      <c r="C8" s="183">
        <v>20</v>
      </c>
      <c r="D8" s="37">
        <v>50</v>
      </c>
      <c r="G8" s="247" t="s">
        <v>571</v>
      </c>
    </row>
    <row r="9" spans="1:11" ht="147" customHeight="1" x14ac:dyDescent="0.3">
      <c r="A9" s="40" t="s">
        <v>160</v>
      </c>
      <c r="B9" s="183">
        <v>20</v>
      </c>
      <c r="C9" s="183">
        <v>20</v>
      </c>
      <c r="D9" s="37">
        <v>35</v>
      </c>
      <c r="G9" s="166" t="s">
        <v>620</v>
      </c>
    </row>
    <row r="10" spans="1:11" ht="14.25" customHeight="1" x14ac:dyDescent="0.3">
      <c r="A10" s="40" t="s">
        <v>495</v>
      </c>
      <c r="B10" s="183">
        <v>20</v>
      </c>
      <c r="C10" s="183">
        <v>20</v>
      </c>
      <c r="D10" s="37">
        <v>35</v>
      </c>
    </row>
    <row r="11" spans="1:11" ht="14.25" customHeight="1" x14ac:dyDescent="0.3">
      <c r="A11" s="212" t="s">
        <v>496</v>
      </c>
      <c r="B11" s="194">
        <v>20</v>
      </c>
      <c r="C11" s="194">
        <v>20</v>
      </c>
      <c r="D11" s="43">
        <v>35</v>
      </c>
    </row>
    <row r="12" spans="1:11" ht="14.25" customHeight="1" x14ac:dyDescent="0.3"/>
    <row r="13" spans="1:11" ht="14.25" customHeight="1" x14ac:dyDescent="0.3"/>
    <row r="14" spans="1:11" ht="14.25" customHeight="1" x14ac:dyDescent="0.3"/>
    <row r="15" spans="1:11" ht="14.25" customHeight="1" x14ac:dyDescent="0.3"/>
    <row r="16" spans="1:11" ht="14.25" customHeight="1" x14ac:dyDescent="0.3">
      <c r="A16" s="252" t="s">
        <v>5</v>
      </c>
      <c r="B16" s="253" t="s">
        <v>621</v>
      </c>
      <c r="C16" s="253" t="s">
        <v>622</v>
      </c>
      <c r="D16" s="254" t="s">
        <v>623</v>
      </c>
      <c r="G16" s="247">
        <v>1.1000000000000001</v>
      </c>
    </row>
    <row r="17" spans="1:7" ht="14.25" customHeight="1" x14ac:dyDescent="0.3">
      <c r="A17" s="255" t="s">
        <v>482</v>
      </c>
      <c r="B17" s="179">
        <v>50</v>
      </c>
      <c r="C17" s="179">
        <v>50</v>
      </c>
      <c r="D17" s="180">
        <v>2</v>
      </c>
      <c r="G17" s="251" t="s">
        <v>624</v>
      </c>
    </row>
    <row r="18" spans="1:7" ht="14.25" customHeight="1" x14ac:dyDescent="0.3">
      <c r="A18" s="256" t="s">
        <v>154</v>
      </c>
      <c r="B18" s="183">
        <v>50</v>
      </c>
      <c r="C18" s="183">
        <v>50</v>
      </c>
      <c r="D18" s="37">
        <v>2</v>
      </c>
    </row>
    <row r="19" spans="1:7" ht="14.25" customHeight="1" x14ac:dyDescent="0.3">
      <c r="A19" s="256" t="s">
        <v>486</v>
      </c>
      <c r="B19" s="183">
        <v>50</v>
      </c>
      <c r="C19" s="183">
        <v>50</v>
      </c>
      <c r="D19" s="37">
        <v>2</v>
      </c>
      <c r="G19" s="257"/>
    </row>
    <row r="20" spans="1:7" ht="14.25" customHeight="1" x14ac:dyDescent="0.3">
      <c r="A20" s="256" t="s">
        <v>490</v>
      </c>
      <c r="B20" s="183">
        <v>50</v>
      </c>
      <c r="C20" s="183">
        <v>50</v>
      </c>
      <c r="D20" s="37">
        <v>2</v>
      </c>
      <c r="G20" s="258" t="s">
        <v>625</v>
      </c>
    </row>
    <row r="21" spans="1:7" ht="14.25" customHeight="1" x14ac:dyDescent="0.3">
      <c r="A21" s="256" t="s">
        <v>431</v>
      </c>
      <c r="B21" s="183">
        <v>50</v>
      </c>
      <c r="C21" s="183">
        <v>50</v>
      </c>
      <c r="D21" s="37">
        <v>2</v>
      </c>
      <c r="G21" s="259" t="s">
        <v>626</v>
      </c>
    </row>
    <row r="22" spans="1:7" ht="14.25" customHeight="1" x14ac:dyDescent="0.3">
      <c r="A22" s="256" t="s">
        <v>160</v>
      </c>
      <c r="B22" s="183">
        <v>50</v>
      </c>
      <c r="C22" s="183" t="s">
        <v>487</v>
      </c>
      <c r="D22" s="37">
        <v>2</v>
      </c>
      <c r="G22" s="259" t="s">
        <v>627</v>
      </c>
    </row>
    <row r="23" spans="1:7" ht="14.25" customHeight="1" x14ac:dyDescent="0.3">
      <c r="A23" s="256" t="s">
        <v>495</v>
      </c>
      <c r="B23" s="183">
        <v>50</v>
      </c>
      <c r="C23" s="183" t="s">
        <v>487</v>
      </c>
      <c r="D23" s="37">
        <v>2</v>
      </c>
      <c r="G23" s="259" t="s">
        <v>628</v>
      </c>
    </row>
    <row r="24" spans="1:7" ht="14.25" customHeight="1" x14ac:dyDescent="0.3">
      <c r="A24" s="260" t="s">
        <v>496</v>
      </c>
      <c r="B24" s="194">
        <v>50</v>
      </c>
      <c r="C24" s="194" t="s">
        <v>487</v>
      </c>
      <c r="D24" s="43">
        <v>2</v>
      </c>
    </row>
    <row r="25" spans="1:7" ht="14.25" customHeight="1" x14ac:dyDescent="0.3"/>
    <row r="26" spans="1:7" ht="14.25" customHeight="1" x14ac:dyDescent="0.3"/>
    <row r="27" spans="1:7" ht="14.25" customHeight="1" x14ac:dyDescent="0.3">
      <c r="A27" s="261" t="s">
        <v>629</v>
      </c>
    </row>
    <row r="28" spans="1:7" ht="14.25" customHeight="1" x14ac:dyDescent="0.3">
      <c r="A28" s="261" t="s">
        <v>630</v>
      </c>
    </row>
    <row r="29" spans="1:7" ht="14.25" customHeight="1" x14ac:dyDescent="0.3">
      <c r="A29" s="261" t="s">
        <v>631</v>
      </c>
    </row>
    <row r="30" spans="1:7" ht="14.25" customHeight="1" x14ac:dyDescent="0.3">
      <c r="A30" s="261" t="s">
        <v>632</v>
      </c>
    </row>
    <row r="31" spans="1:7" ht="14.25" customHeight="1" x14ac:dyDescent="0.3">
      <c r="A31" s="261" t="s">
        <v>633</v>
      </c>
    </row>
    <row r="32" spans="1:7" ht="14.25" customHeight="1" x14ac:dyDescent="0.3">
      <c r="A32" s="261" t="s">
        <v>634</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1"/>
  <dimension ref="A1:F1000"/>
  <sheetViews>
    <sheetView workbookViewId="0"/>
  </sheetViews>
  <sheetFormatPr baseColWidth="10" defaultColWidth="14.44140625" defaultRowHeight="15" customHeight="1" x14ac:dyDescent="0.3"/>
  <cols>
    <col min="1" max="1" width="42.6640625" customWidth="1"/>
    <col min="2" max="4" width="10.6640625" customWidth="1"/>
    <col min="5" max="5" width="89" customWidth="1"/>
    <col min="6" max="6" width="10.6640625" customWidth="1"/>
  </cols>
  <sheetData>
    <row r="1" spans="1:6" ht="14.25" customHeight="1" x14ac:dyDescent="0.3">
      <c r="A1" s="236" t="s">
        <v>635</v>
      </c>
      <c r="B1" s="236" t="s">
        <v>636</v>
      </c>
      <c r="C1" s="236" t="s">
        <v>637</v>
      </c>
      <c r="D1" s="236" t="s">
        <v>638</v>
      </c>
      <c r="E1" s="236" t="s">
        <v>639</v>
      </c>
      <c r="F1" s="236" t="s">
        <v>640</v>
      </c>
    </row>
    <row r="2" spans="1:6" ht="14.25" customHeight="1" x14ac:dyDescent="0.3">
      <c r="A2" s="178" t="s">
        <v>641</v>
      </c>
      <c r="B2" s="179">
        <v>1</v>
      </c>
      <c r="C2" s="179" t="s">
        <v>642</v>
      </c>
      <c r="D2" s="179" t="s">
        <v>642</v>
      </c>
      <c r="E2" s="179" t="s">
        <v>150</v>
      </c>
      <c r="F2" s="180" t="s">
        <v>642</v>
      </c>
    </row>
    <row r="3" spans="1:6" ht="14.25" customHeight="1" x14ac:dyDescent="0.3">
      <c r="A3" s="40" t="s">
        <v>643</v>
      </c>
      <c r="B3" s="183">
        <v>0.8</v>
      </c>
      <c r="C3" s="183" t="s">
        <v>642</v>
      </c>
      <c r="D3" s="183" t="s">
        <v>642</v>
      </c>
      <c r="E3" s="183" t="s">
        <v>642</v>
      </c>
      <c r="F3" s="37" t="s">
        <v>642</v>
      </c>
    </row>
    <row r="4" spans="1:6" ht="14.25" customHeight="1" x14ac:dyDescent="0.3">
      <c r="A4" s="40" t="s">
        <v>644</v>
      </c>
      <c r="B4" s="183" t="s">
        <v>642</v>
      </c>
      <c r="C4" s="183">
        <v>14</v>
      </c>
      <c r="D4" s="183" t="s">
        <v>642</v>
      </c>
      <c r="E4" s="183" t="s">
        <v>150</v>
      </c>
      <c r="F4" s="37" t="s">
        <v>642</v>
      </c>
    </row>
    <row r="5" spans="1:6" ht="14.25" customHeight="1" x14ac:dyDescent="0.3">
      <c r="A5" s="40" t="s">
        <v>645</v>
      </c>
      <c r="B5" s="183" t="s">
        <v>642</v>
      </c>
      <c r="C5" s="183">
        <v>1.5</v>
      </c>
      <c r="D5" s="183">
        <v>25</v>
      </c>
      <c r="E5" s="183" t="s">
        <v>150</v>
      </c>
      <c r="F5" s="37" t="s">
        <v>642</v>
      </c>
    </row>
    <row r="6" spans="1:6" ht="14.25" customHeight="1" x14ac:dyDescent="0.3">
      <c r="A6" s="40" t="s">
        <v>645</v>
      </c>
      <c r="B6" s="183" t="s">
        <v>642</v>
      </c>
      <c r="C6" s="183">
        <v>2.8</v>
      </c>
      <c r="D6" s="183" t="s">
        <v>642</v>
      </c>
      <c r="E6" s="183" t="s">
        <v>150</v>
      </c>
      <c r="F6" s="37" t="s">
        <v>642</v>
      </c>
    </row>
    <row r="7" spans="1:6" ht="14.25" customHeight="1" x14ac:dyDescent="0.3">
      <c r="A7" s="212" t="s">
        <v>646</v>
      </c>
      <c r="B7" s="194" t="s">
        <v>642</v>
      </c>
      <c r="C7" s="194" t="s">
        <v>642</v>
      </c>
      <c r="D7" s="194" t="s">
        <v>642</v>
      </c>
      <c r="E7" s="194" t="s">
        <v>642</v>
      </c>
      <c r="F7" s="43">
        <v>10</v>
      </c>
    </row>
    <row r="8" spans="1:6" ht="14.25" customHeight="1" x14ac:dyDescent="0.3"/>
    <row r="9" spans="1:6" ht="14.25" customHeight="1" x14ac:dyDescent="0.3">
      <c r="A9" s="254" t="s">
        <v>647</v>
      </c>
      <c r="E9" s="262">
        <v>4.2</v>
      </c>
    </row>
    <row r="10" spans="1:6" ht="87.75" customHeight="1" x14ac:dyDescent="0.3">
      <c r="A10" s="263" t="s">
        <v>648</v>
      </c>
      <c r="E10" s="166" t="s">
        <v>649</v>
      </c>
    </row>
    <row r="11" spans="1:6" ht="14.25" customHeight="1" x14ac:dyDescent="0.3">
      <c r="A11" s="240" t="s">
        <v>650</v>
      </c>
    </row>
    <row r="12" spans="1:6" ht="14.25" customHeight="1" x14ac:dyDescent="0.3"/>
    <row r="13" spans="1:6" ht="14.25" customHeight="1" x14ac:dyDescent="0.3">
      <c r="A13" s="254" t="s">
        <v>651</v>
      </c>
    </row>
    <row r="14" spans="1:6" ht="87" customHeight="1" x14ac:dyDescent="0.3">
      <c r="A14" s="263" t="s">
        <v>652</v>
      </c>
    </row>
    <row r="15" spans="1:6" ht="14.25" customHeight="1" x14ac:dyDescent="0.3">
      <c r="A15" s="240" t="s">
        <v>653</v>
      </c>
    </row>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2"/>
  <dimension ref="A1:I1000"/>
  <sheetViews>
    <sheetView workbookViewId="0"/>
  </sheetViews>
  <sheetFormatPr baseColWidth="10" defaultColWidth="14.44140625" defaultRowHeight="15" customHeight="1" x14ac:dyDescent="0.3"/>
  <cols>
    <col min="1" max="1" width="40.33203125" customWidth="1"/>
    <col min="2" max="2" width="35" customWidth="1"/>
    <col min="3" max="3" width="25.44140625" customWidth="1"/>
    <col min="4" max="4" width="31" customWidth="1"/>
    <col min="5" max="5" width="26.109375" customWidth="1"/>
    <col min="6" max="6" width="26.88671875" customWidth="1"/>
    <col min="7" max="7" width="21.88671875" customWidth="1"/>
    <col min="8" max="9" width="10.6640625" customWidth="1"/>
  </cols>
  <sheetData>
    <row r="1" spans="1:9" ht="14.25" customHeight="1" x14ac:dyDescent="0.3">
      <c r="A1" s="175" t="s">
        <v>3</v>
      </c>
      <c r="B1" s="176" t="s">
        <v>81</v>
      </c>
      <c r="C1" s="176" t="s">
        <v>654</v>
      </c>
      <c r="D1" s="176" t="s">
        <v>82</v>
      </c>
      <c r="E1" s="176" t="s">
        <v>655</v>
      </c>
      <c r="F1" s="176" t="s">
        <v>656</v>
      </c>
      <c r="G1" s="177" t="s">
        <v>657</v>
      </c>
      <c r="I1" s="25" t="s">
        <v>658</v>
      </c>
    </row>
    <row r="2" spans="1:9" ht="14.25" customHeight="1" x14ac:dyDescent="0.3">
      <c r="A2" s="178" t="s">
        <v>481</v>
      </c>
      <c r="B2" s="179">
        <v>5</v>
      </c>
      <c r="C2" s="179">
        <v>4.5</v>
      </c>
      <c r="D2" s="179">
        <v>20</v>
      </c>
      <c r="E2" s="179">
        <v>5.3</v>
      </c>
      <c r="F2" s="179">
        <v>12.5</v>
      </c>
      <c r="G2" s="180">
        <v>7.2</v>
      </c>
      <c r="I2" s="25" t="s">
        <v>659</v>
      </c>
    </row>
    <row r="3" spans="1:9" ht="14.25" customHeight="1" x14ac:dyDescent="0.3">
      <c r="A3" s="40" t="s">
        <v>497</v>
      </c>
      <c r="B3" s="183">
        <v>5</v>
      </c>
      <c r="C3" s="183">
        <v>4.5</v>
      </c>
      <c r="D3" s="183">
        <v>20</v>
      </c>
      <c r="E3" s="183">
        <v>5.3</v>
      </c>
      <c r="F3" s="183">
        <v>12.5</v>
      </c>
      <c r="G3" s="37">
        <v>7.2</v>
      </c>
    </row>
    <row r="4" spans="1:9" ht="14.25" customHeight="1" x14ac:dyDescent="0.3">
      <c r="A4" s="40" t="s">
        <v>138</v>
      </c>
      <c r="B4" s="183">
        <v>5</v>
      </c>
      <c r="C4" s="183">
        <v>4.5</v>
      </c>
      <c r="D4" s="183">
        <v>20</v>
      </c>
      <c r="E4" s="183">
        <v>5.3</v>
      </c>
      <c r="F4" s="183">
        <v>12.5</v>
      </c>
      <c r="G4" s="37">
        <v>7.2</v>
      </c>
    </row>
    <row r="5" spans="1:9" ht="14.25" customHeight="1" x14ac:dyDescent="0.3">
      <c r="A5" s="212" t="s">
        <v>660</v>
      </c>
      <c r="B5" s="194">
        <v>5</v>
      </c>
      <c r="C5" s="194">
        <v>4.5</v>
      </c>
      <c r="D5" s="194">
        <v>20</v>
      </c>
      <c r="E5" s="194">
        <v>5.3</v>
      </c>
      <c r="F5" s="194">
        <v>12.5</v>
      </c>
      <c r="G5" s="43">
        <v>7.2</v>
      </c>
    </row>
    <row r="6" spans="1:9" ht="14.25" customHeight="1" x14ac:dyDescent="0.3"/>
    <row r="7" spans="1:9" ht="14.25" customHeight="1" x14ac:dyDescent="0.3"/>
    <row r="8" spans="1:9" ht="14.25" customHeight="1" x14ac:dyDescent="0.3">
      <c r="A8" s="175" t="s">
        <v>661</v>
      </c>
      <c r="B8" s="177" t="s">
        <v>662</v>
      </c>
    </row>
    <row r="9" spans="1:9" ht="14.25" customHeight="1" x14ac:dyDescent="0.3">
      <c r="A9" s="178" t="s">
        <v>428</v>
      </c>
      <c r="B9" s="180">
        <v>1000</v>
      </c>
    </row>
    <row r="10" spans="1:9" ht="14.25" customHeight="1" x14ac:dyDescent="0.3">
      <c r="A10" s="40" t="s">
        <v>663</v>
      </c>
      <c r="B10" s="37">
        <v>9</v>
      </c>
    </row>
    <row r="11" spans="1:9" ht="14.25" customHeight="1" x14ac:dyDescent="0.3">
      <c r="A11" s="40" t="s">
        <v>664</v>
      </c>
      <c r="B11" s="37">
        <v>6</v>
      </c>
    </row>
    <row r="12" spans="1:9" ht="14.25" customHeight="1" x14ac:dyDescent="0.3">
      <c r="A12" s="40" t="s">
        <v>665</v>
      </c>
      <c r="B12" s="37" t="s">
        <v>489</v>
      </c>
    </row>
    <row r="13" spans="1:9" ht="14.25" customHeight="1" x14ac:dyDescent="0.3">
      <c r="A13" s="40" t="s">
        <v>666</v>
      </c>
      <c r="B13" s="37">
        <v>15</v>
      </c>
    </row>
    <row r="14" spans="1:9" ht="14.25" customHeight="1" x14ac:dyDescent="0.3">
      <c r="A14" s="40" t="s">
        <v>667</v>
      </c>
      <c r="B14" s="37">
        <v>30</v>
      </c>
    </row>
    <row r="15" spans="1:9" ht="14.25" customHeight="1" x14ac:dyDescent="0.3">
      <c r="A15" s="40" t="s">
        <v>668</v>
      </c>
      <c r="B15" s="37">
        <v>10</v>
      </c>
    </row>
    <row r="16" spans="1:9" ht="14.25" customHeight="1" x14ac:dyDescent="0.3">
      <c r="A16" s="40" t="s">
        <v>669</v>
      </c>
      <c r="B16" s="37">
        <v>100</v>
      </c>
      <c r="C16" s="25" t="s">
        <v>670</v>
      </c>
    </row>
    <row r="17" spans="1:4" ht="14.25" customHeight="1" x14ac:dyDescent="0.3">
      <c r="A17" s="40" t="s">
        <v>671</v>
      </c>
      <c r="B17" s="37">
        <v>18</v>
      </c>
    </row>
    <row r="18" spans="1:4" ht="14.25" customHeight="1" x14ac:dyDescent="0.3">
      <c r="A18" s="40" t="s">
        <v>672</v>
      </c>
      <c r="B18" s="37">
        <v>9</v>
      </c>
    </row>
    <row r="19" spans="1:4" ht="14.25" customHeight="1" x14ac:dyDescent="0.3">
      <c r="A19" s="40" t="s">
        <v>673</v>
      </c>
      <c r="B19" s="37">
        <v>20</v>
      </c>
    </row>
    <row r="20" spans="1:4" ht="14.25" customHeight="1" x14ac:dyDescent="0.3">
      <c r="A20" s="212" t="s">
        <v>674</v>
      </c>
      <c r="B20" s="43">
        <v>7</v>
      </c>
    </row>
    <row r="21" spans="1:4" ht="14.25" customHeight="1" x14ac:dyDescent="0.3"/>
    <row r="22" spans="1:4" ht="14.25" customHeight="1" x14ac:dyDescent="0.3"/>
    <row r="23" spans="1:4" ht="14.25" customHeight="1" x14ac:dyDescent="0.3">
      <c r="A23" s="175" t="s">
        <v>675</v>
      </c>
      <c r="B23" s="175" t="s">
        <v>662</v>
      </c>
      <c r="D23" s="25" t="s">
        <v>676</v>
      </c>
    </row>
    <row r="24" spans="1:4" ht="14.25" customHeight="1" x14ac:dyDescent="0.3">
      <c r="A24" s="178" t="s">
        <v>448</v>
      </c>
      <c r="B24" s="180" t="s">
        <v>677</v>
      </c>
    </row>
    <row r="25" spans="1:4" ht="14.25" customHeight="1" x14ac:dyDescent="0.3">
      <c r="A25" s="40" t="s">
        <v>678</v>
      </c>
      <c r="B25" s="37">
        <v>1.2</v>
      </c>
    </row>
    <row r="26" spans="1:4" ht="14.25" customHeight="1" x14ac:dyDescent="0.3">
      <c r="A26" s="40" t="s">
        <v>679</v>
      </c>
      <c r="B26" s="37">
        <v>0.8</v>
      </c>
    </row>
    <row r="27" spans="1:4" ht="14.25" customHeight="1" x14ac:dyDescent="0.3">
      <c r="A27" s="40" t="s">
        <v>680</v>
      </c>
      <c r="B27" s="37">
        <v>1.2</v>
      </c>
    </row>
    <row r="28" spans="1:4" ht="14.25" customHeight="1" x14ac:dyDescent="0.3">
      <c r="A28" s="40" t="s">
        <v>681</v>
      </c>
      <c r="B28" s="37">
        <v>25</v>
      </c>
    </row>
    <row r="29" spans="1:4" ht="14.25" customHeight="1" x14ac:dyDescent="0.3">
      <c r="A29" s="40" t="s">
        <v>682</v>
      </c>
      <c r="B29" s="37">
        <v>2</v>
      </c>
    </row>
    <row r="30" spans="1:4" ht="14.25" customHeight="1" x14ac:dyDescent="0.3">
      <c r="A30" s="190" t="s">
        <v>683</v>
      </c>
      <c r="B30" s="211">
        <v>9</v>
      </c>
    </row>
    <row r="31" spans="1:4" ht="14.25" customHeight="1" x14ac:dyDescent="0.3">
      <c r="A31" s="264" t="s">
        <v>684</v>
      </c>
      <c r="B31" s="265">
        <v>50</v>
      </c>
    </row>
    <row r="32" spans="1:4" ht="14.25" customHeight="1" x14ac:dyDescent="0.3">
      <c r="A32" s="266" t="s">
        <v>685</v>
      </c>
      <c r="B32" s="267">
        <v>1.8</v>
      </c>
    </row>
    <row r="33" spans="1:4" ht="14.25" customHeight="1" x14ac:dyDescent="0.3"/>
    <row r="34" spans="1:4" ht="14.25" customHeight="1" x14ac:dyDescent="0.3"/>
    <row r="35" spans="1:4" ht="14.25" customHeight="1" x14ac:dyDescent="0.3"/>
    <row r="36" spans="1:4" ht="14.25" customHeight="1" x14ac:dyDescent="0.3"/>
    <row r="37" spans="1:4" ht="14.25" customHeight="1" x14ac:dyDescent="0.3"/>
    <row r="38" spans="1:4" ht="14.25" customHeight="1" x14ac:dyDescent="0.3">
      <c r="A38" s="25" t="s">
        <v>686</v>
      </c>
    </row>
    <row r="39" spans="1:4" ht="14.25" customHeight="1" x14ac:dyDescent="0.3">
      <c r="A39" s="25" t="s">
        <v>687</v>
      </c>
      <c r="D39" s="25" t="s">
        <v>688</v>
      </c>
    </row>
    <row r="40" spans="1:4" ht="14.25" customHeight="1" x14ac:dyDescent="0.3">
      <c r="A40" s="25" t="s">
        <v>689</v>
      </c>
      <c r="D40" s="25" t="s">
        <v>690</v>
      </c>
    </row>
    <row r="41" spans="1:4" ht="14.25" customHeight="1" x14ac:dyDescent="0.3">
      <c r="A41" s="25" t="s">
        <v>691</v>
      </c>
      <c r="D41" s="25" t="s">
        <v>692</v>
      </c>
    </row>
    <row r="42" spans="1:4" ht="14.25" customHeight="1" x14ac:dyDescent="0.3">
      <c r="A42" s="25" t="s">
        <v>693</v>
      </c>
      <c r="D42" s="25" t="s">
        <v>694</v>
      </c>
    </row>
    <row r="43" spans="1:4" ht="14.25" customHeight="1" x14ac:dyDescent="0.3">
      <c r="A43" s="25" t="s">
        <v>695</v>
      </c>
      <c r="D43" s="25" t="s">
        <v>696</v>
      </c>
    </row>
    <row r="44" spans="1:4" ht="14.25" customHeight="1" x14ac:dyDescent="0.3">
      <c r="A44" s="25" t="s">
        <v>697</v>
      </c>
      <c r="D44" s="25" t="s">
        <v>698</v>
      </c>
    </row>
    <row r="45" spans="1:4" ht="14.25" customHeight="1" x14ac:dyDescent="0.3">
      <c r="A45" s="25" t="s">
        <v>699</v>
      </c>
    </row>
    <row r="46" spans="1:4" ht="14.25" customHeight="1" x14ac:dyDescent="0.3">
      <c r="A46" s="25" t="s">
        <v>700</v>
      </c>
    </row>
    <row r="47" spans="1:4" ht="14.25" customHeight="1" x14ac:dyDescent="0.3"/>
    <row r="48" spans="1:4" ht="14.25" customHeight="1" x14ac:dyDescent="0.3">
      <c r="A48" s="25" t="s">
        <v>701</v>
      </c>
      <c r="D48" s="25" t="s">
        <v>702</v>
      </c>
    </row>
    <row r="49" spans="1:4" ht="14.25" customHeight="1" x14ac:dyDescent="0.3">
      <c r="A49" s="25" t="s">
        <v>703</v>
      </c>
      <c r="D49" s="25" t="s">
        <v>704</v>
      </c>
    </row>
    <row r="50" spans="1:4" ht="14.25" customHeight="1" x14ac:dyDescent="0.3">
      <c r="A50" s="25" t="s">
        <v>705</v>
      </c>
      <c r="D50" s="25" t="s">
        <v>706</v>
      </c>
    </row>
    <row r="51" spans="1:4" ht="14.25" customHeight="1" x14ac:dyDescent="0.3">
      <c r="A51" s="25" t="s">
        <v>707</v>
      </c>
      <c r="D51" s="25" t="s">
        <v>708</v>
      </c>
    </row>
    <row r="52" spans="1:4" ht="14.25" customHeight="1" x14ac:dyDescent="0.3">
      <c r="A52" s="25" t="s">
        <v>709</v>
      </c>
      <c r="D52" s="25" t="s">
        <v>710</v>
      </c>
    </row>
    <row r="53" spans="1:4" ht="14.25" customHeight="1" x14ac:dyDescent="0.3">
      <c r="A53" s="25" t="s">
        <v>711</v>
      </c>
      <c r="D53" s="25" t="s">
        <v>712</v>
      </c>
    </row>
    <row r="54" spans="1:4" ht="14.25" customHeight="1" x14ac:dyDescent="0.3">
      <c r="D54" s="25" t="s">
        <v>713</v>
      </c>
    </row>
    <row r="55" spans="1:4" ht="14.25" customHeight="1" x14ac:dyDescent="0.3">
      <c r="D55" s="25" t="s">
        <v>714</v>
      </c>
    </row>
    <row r="56" spans="1:4" ht="14.25" customHeight="1" x14ac:dyDescent="0.3">
      <c r="D56" s="25" t="s">
        <v>715</v>
      </c>
    </row>
    <row r="57" spans="1:4" ht="14.25" customHeight="1" x14ac:dyDescent="0.3"/>
    <row r="58" spans="1:4" ht="14.25" customHeight="1" x14ac:dyDescent="0.3"/>
    <row r="59" spans="1:4" ht="14.25" customHeight="1" x14ac:dyDescent="0.3"/>
    <row r="60" spans="1:4" ht="14.25" customHeight="1" x14ac:dyDescent="0.3"/>
    <row r="61" spans="1:4" ht="14.25" customHeight="1" x14ac:dyDescent="0.3"/>
    <row r="62" spans="1:4" ht="14.25" customHeight="1" x14ac:dyDescent="0.3"/>
    <row r="63" spans="1:4" ht="14.25" customHeight="1" x14ac:dyDescent="0.3"/>
    <row r="64" spans="1: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3"/>
  <dimension ref="A1:G1000"/>
  <sheetViews>
    <sheetView workbookViewId="0"/>
  </sheetViews>
  <sheetFormatPr baseColWidth="10" defaultColWidth="14.44140625" defaultRowHeight="15" customHeight="1" x14ac:dyDescent="0.3"/>
  <cols>
    <col min="1" max="1" width="10.6640625" customWidth="1"/>
    <col min="2" max="2" width="17.44140625" customWidth="1"/>
    <col min="3" max="3" width="16.44140625" customWidth="1"/>
    <col min="4" max="4" width="13.88671875" customWidth="1"/>
    <col min="5" max="5" width="23" customWidth="1"/>
    <col min="6" max="6" width="10.6640625" customWidth="1"/>
    <col min="7" max="7" width="67.109375" customWidth="1"/>
  </cols>
  <sheetData>
    <row r="1" spans="1:5" ht="14.25" customHeight="1" x14ac:dyDescent="0.3">
      <c r="A1" s="236" t="s">
        <v>716</v>
      </c>
    </row>
    <row r="2" spans="1:5" ht="14.25" customHeight="1" x14ac:dyDescent="0.3">
      <c r="A2" s="208" t="s">
        <v>473</v>
      </c>
      <c r="B2" s="209" t="s">
        <v>474</v>
      </c>
      <c r="C2" s="209" t="s">
        <v>476</v>
      </c>
      <c r="D2" s="209" t="s">
        <v>475</v>
      </c>
      <c r="E2" s="210" t="s">
        <v>533</v>
      </c>
    </row>
    <row r="3" spans="1:5" ht="14.25" customHeight="1" x14ac:dyDescent="0.3">
      <c r="A3" s="192">
        <v>1</v>
      </c>
      <c r="B3" s="193" t="s">
        <v>481</v>
      </c>
      <c r="C3" s="193" t="s">
        <v>510</v>
      </c>
      <c r="D3" s="193" t="s">
        <v>482</v>
      </c>
      <c r="E3" s="33" t="s">
        <v>717</v>
      </c>
    </row>
    <row r="4" spans="1:5" ht="14.25" customHeight="1" x14ac:dyDescent="0.3">
      <c r="A4" s="40">
        <v>2</v>
      </c>
      <c r="B4" s="183" t="s">
        <v>481</v>
      </c>
      <c r="C4" s="183" t="s">
        <v>510</v>
      </c>
      <c r="D4" s="183" t="s">
        <v>154</v>
      </c>
      <c r="E4" s="37" t="s">
        <v>718</v>
      </c>
    </row>
    <row r="5" spans="1:5" ht="14.25" customHeight="1" x14ac:dyDescent="0.3">
      <c r="A5" s="40">
        <v>3</v>
      </c>
      <c r="B5" s="183" t="s">
        <v>481</v>
      </c>
      <c r="C5" s="183" t="s">
        <v>510</v>
      </c>
      <c r="D5" s="183" t="s">
        <v>486</v>
      </c>
      <c r="E5" s="189" t="s">
        <v>493</v>
      </c>
    </row>
    <row r="6" spans="1:5" ht="14.25" customHeight="1" x14ac:dyDescent="0.3">
      <c r="A6" s="40">
        <v>4</v>
      </c>
      <c r="B6" s="183" t="s">
        <v>481</v>
      </c>
      <c r="C6" s="183" t="s">
        <v>510</v>
      </c>
      <c r="D6" s="183" t="s">
        <v>490</v>
      </c>
      <c r="E6" s="189" t="s">
        <v>493</v>
      </c>
    </row>
    <row r="7" spans="1:5" ht="14.25" customHeight="1" x14ac:dyDescent="0.3">
      <c r="A7" s="40">
        <v>5</v>
      </c>
      <c r="B7" s="183" t="s">
        <v>481</v>
      </c>
      <c r="C7" s="183" t="s">
        <v>510</v>
      </c>
      <c r="D7" s="183" t="s">
        <v>431</v>
      </c>
      <c r="E7" s="189" t="s">
        <v>493</v>
      </c>
    </row>
    <row r="8" spans="1:5" ht="14.25" customHeight="1" x14ac:dyDescent="0.3">
      <c r="A8" s="40">
        <v>6</v>
      </c>
      <c r="B8" s="183" t="s">
        <v>481</v>
      </c>
      <c r="C8" s="183" t="s">
        <v>510</v>
      </c>
      <c r="D8" s="183" t="s">
        <v>160</v>
      </c>
      <c r="E8" s="189" t="s">
        <v>493</v>
      </c>
    </row>
    <row r="9" spans="1:5" ht="14.25" customHeight="1" x14ac:dyDescent="0.3">
      <c r="A9" s="40">
        <v>7</v>
      </c>
      <c r="B9" s="183" t="s">
        <v>481</v>
      </c>
      <c r="C9" s="183" t="s">
        <v>510</v>
      </c>
      <c r="D9" s="183" t="s">
        <v>495</v>
      </c>
      <c r="E9" s="189" t="s">
        <v>493</v>
      </c>
    </row>
    <row r="10" spans="1:5" ht="14.25" customHeight="1" x14ac:dyDescent="0.3">
      <c r="A10" s="40">
        <v>8</v>
      </c>
      <c r="B10" s="183" t="s">
        <v>481</v>
      </c>
      <c r="C10" s="183" t="s">
        <v>510</v>
      </c>
      <c r="D10" s="183" t="s">
        <v>496</v>
      </c>
      <c r="E10" s="189" t="s">
        <v>493</v>
      </c>
    </row>
    <row r="11" spans="1:5" ht="14.25" customHeight="1" x14ac:dyDescent="0.3">
      <c r="A11" s="40">
        <v>9</v>
      </c>
      <c r="B11" s="183" t="s">
        <v>497</v>
      </c>
      <c r="C11" s="183" t="s">
        <v>510</v>
      </c>
      <c r="D11" s="183" t="s">
        <v>482</v>
      </c>
      <c r="E11" s="37" t="s">
        <v>717</v>
      </c>
    </row>
    <row r="12" spans="1:5" ht="14.25" customHeight="1" x14ac:dyDescent="0.3">
      <c r="A12" s="40">
        <v>10</v>
      </c>
      <c r="B12" s="183" t="s">
        <v>497</v>
      </c>
      <c r="C12" s="183" t="s">
        <v>510</v>
      </c>
      <c r="D12" s="183" t="s">
        <v>154</v>
      </c>
      <c r="E12" s="37" t="s">
        <v>717</v>
      </c>
    </row>
    <row r="13" spans="1:5" ht="14.25" customHeight="1" x14ac:dyDescent="0.3">
      <c r="A13" s="40">
        <v>11</v>
      </c>
      <c r="B13" s="183" t="s">
        <v>497</v>
      </c>
      <c r="C13" s="183" t="s">
        <v>510</v>
      </c>
      <c r="D13" s="183" t="s">
        <v>486</v>
      </c>
      <c r="E13" s="37" t="s">
        <v>719</v>
      </c>
    </row>
    <row r="14" spans="1:5" ht="14.25" customHeight="1" x14ac:dyDescent="0.3">
      <c r="A14" s="40">
        <v>12</v>
      </c>
      <c r="B14" s="183" t="s">
        <v>497</v>
      </c>
      <c r="C14" s="183" t="s">
        <v>510</v>
      </c>
      <c r="D14" s="183" t="s">
        <v>490</v>
      </c>
      <c r="E14" s="37" t="s">
        <v>719</v>
      </c>
    </row>
    <row r="15" spans="1:5" ht="14.25" customHeight="1" x14ac:dyDescent="0.3">
      <c r="A15" s="40">
        <v>13</v>
      </c>
      <c r="B15" s="183" t="s">
        <v>497</v>
      </c>
      <c r="C15" s="183" t="s">
        <v>510</v>
      </c>
      <c r="D15" s="183" t="s">
        <v>431</v>
      </c>
      <c r="E15" s="37" t="s">
        <v>719</v>
      </c>
    </row>
    <row r="16" spans="1:5" ht="14.25" customHeight="1" x14ac:dyDescent="0.3">
      <c r="A16" s="40">
        <v>14</v>
      </c>
      <c r="B16" s="183" t="s">
        <v>497</v>
      </c>
      <c r="C16" s="183" t="s">
        <v>510</v>
      </c>
      <c r="D16" s="183" t="s">
        <v>160</v>
      </c>
      <c r="E16" s="189" t="s">
        <v>493</v>
      </c>
    </row>
    <row r="17" spans="1:5" ht="14.25" customHeight="1" x14ac:dyDescent="0.3">
      <c r="A17" s="40">
        <v>15</v>
      </c>
      <c r="B17" s="183" t="s">
        <v>497</v>
      </c>
      <c r="C17" s="183" t="s">
        <v>510</v>
      </c>
      <c r="D17" s="183" t="s">
        <v>495</v>
      </c>
      <c r="E17" s="189" t="s">
        <v>493</v>
      </c>
    </row>
    <row r="18" spans="1:5" ht="14.25" customHeight="1" x14ac:dyDescent="0.3">
      <c r="A18" s="40">
        <v>16</v>
      </c>
      <c r="B18" s="183" t="s">
        <v>497</v>
      </c>
      <c r="C18" s="183" t="s">
        <v>510</v>
      </c>
      <c r="D18" s="183" t="s">
        <v>496</v>
      </c>
      <c r="E18" s="189" t="s">
        <v>493</v>
      </c>
    </row>
    <row r="19" spans="1:5" ht="14.25" customHeight="1" x14ac:dyDescent="0.3">
      <c r="A19" s="40">
        <v>17</v>
      </c>
      <c r="B19" s="183" t="s">
        <v>138</v>
      </c>
      <c r="C19" s="183" t="s">
        <v>510</v>
      </c>
      <c r="D19" s="183" t="s">
        <v>482</v>
      </c>
      <c r="E19" s="37" t="s">
        <v>149</v>
      </c>
    </row>
    <row r="20" spans="1:5" ht="14.25" customHeight="1" x14ac:dyDescent="0.3">
      <c r="A20" s="40">
        <v>18</v>
      </c>
      <c r="B20" s="183" t="s">
        <v>138</v>
      </c>
      <c r="C20" s="183" t="s">
        <v>510</v>
      </c>
      <c r="D20" s="183" t="s">
        <v>154</v>
      </c>
      <c r="E20" s="37" t="s">
        <v>149</v>
      </c>
    </row>
    <row r="21" spans="1:5" ht="14.25" customHeight="1" x14ac:dyDescent="0.3">
      <c r="A21" s="40">
        <v>19</v>
      </c>
      <c r="B21" s="183" t="s">
        <v>138</v>
      </c>
      <c r="C21" s="183" t="s">
        <v>510</v>
      </c>
      <c r="D21" s="183" t="s">
        <v>486</v>
      </c>
      <c r="E21" s="37" t="s">
        <v>717</v>
      </c>
    </row>
    <row r="22" spans="1:5" ht="14.25" customHeight="1" x14ac:dyDescent="0.3">
      <c r="A22" s="40">
        <v>20</v>
      </c>
      <c r="B22" s="183" t="s">
        <v>138</v>
      </c>
      <c r="C22" s="183" t="s">
        <v>510</v>
      </c>
      <c r="D22" s="183" t="s">
        <v>490</v>
      </c>
      <c r="E22" s="37" t="s">
        <v>717</v>
      </c>
    </row>
    <row r="23" spans="1:5" ht="14.25" customHeight="1" x14ac:dyDescent="0.3">
      <c r="A23" s="40">
        <v>21</v>
      </c>
      <c r="B23" s="183" t="s">
        <v>138</v>
      </c>
      <c r="C23" s="183" t="s">
        <v>510</v>
      </c>
      <c r="D23" s="183" t="s">
        <v>431</v>
      </c>
      <c r="E23" s="37" t="s">
        <v>717</v>
      </c>
    </row>
    <row r="24" spans="1:5" ht="14.25" customHeight="1" x14ac:dyDescent="0.3">
      <c r="A24" s="40">
        <v>22</v>
      </c>
      <c r="B24" s="183" t="s">
        <v>138</v>
      </c>
      <c r="C24" s="183" t="s">
        <v>510</v>
      </c>
      <c r="D24" s="183" t="s">
        <v>160</v>
      </c>
      <c r="E24" s="37" t="s">
        <v>719</v>
      </c>
    </row>
    <row r="25" spans="1:5" ht="14.25" customHeight="1" x14ac:dyDescent="0.3">
      <c r="A25" s="40">
        <v>23</v>
      </c>
      <c r="B25" s="183" t="s">
        <v>138</v>
      </c>
      <c r="C25" s="183" t="s">
        <v>510</v>
      </c>
      <c r="D25" s="183" t="s">
        <v>495</v>
      </c>
      <c r="E25" s="37" t="s">
        <v>719</v>
      </c>
    </row>
    <row r="26" spans="1:5" ht="14.25" customHeight="1" x14ac:dyDescent="0.3">
      <c r="A26" s="40">
        <v>24</v>
      </c>
      <c r="B26" s="183" t="s">
        <v>138</v>
      </c>
      <c r="C26" s="183" t="s">
        <v>510</v>
      </c>
      <c r="D26" s="183" t="s">
        <v>496</v>
      </c>
      <c r="E26" s="37" t="s">
        <v>719</v>
      </c>
    </row>
    <row r="27" spans="1:5" ht="14.25" customHeight="1" x14ac:dyDescent="0.3">
      <c r="A27" s="40">
        <v>25</v>
      </c>
      <c r="B27" s="183" t="s">
        <v>155</v>
      </c>
      <c r="C27" s="183" t="s">
        <v>510</v>
      </c>
      <c r="D27" s="183" t="s">
        <v>482</v>
      </c>
      <c r="E27" s="37" t="s">
        <v>159</v>
      </c>
    </row>
    <row r="28" spans="1:5" ht="14.25" customHeight="1" x14ac:dyDescent="0.3">
      <c r="A28" s="40">
        <v>26</v>
      </c>
      <c r="B28" s="183" t="s">
        <v>155</v>
      </c>
      <c r="C28" s="183" t="s">
        <v>510</v>
      </c>
      <c r="D28" s="183" t="s">
        <v>154</v>
      </c>
      <c r="E28" s="37" t="s">
        <v>159</v>
      </c>
    </row>
    <row r="29" spans="1:5" ht="14.25" customHeight="1" x14ac:dyDescent="0.3">
      <c r="A29" s="40">
        <v>27</v>
      </c>
      <c r="B29" s="183" t="s">
        <v>155</v>
      </c>
      <c r="C29" s="183" t="s">
        <v>510</v>
      </c>
      <c r="D29" s="183" t="s">
        <v>486</v>
      </c>
      <c r="E29" s="37" t="s">
        <v>149</v>
      </c>
    </row>
    <row r="30" spans="1:5" ht="14.25" customHeight="1" x14ac:dyDescent="0.3">
      <c r="A30" s="40">
        <v>28</v>
      </c>
      <c r="B30" s="183" t="s">
        <v>155</v>
      </c>
      <c r="C30" s="183" t="s">
        <v>510</v>
      </c>
      <c r="D30" s="183" t="s">
        <v>490</v>
      </c>
      <c r="E30" s="37" t="s">
        <v>149</v>
      </c>
    </row>
    <row r="31" spans="1:5" ht="14.25" customHeight="1" x14ac:dyDescent="0.3">
      <c r="A31" s="40">
        <v>29</v>
      </c>
      <c r="B31" s="183" t="s">
        <v>155</v>
      </c>
      <c r="C31" s="183" t="s">
        <v>510</v>
      </c>
      <c r="D31" s="183" t="s">
        <v>431</v>
      </c>
      <c r="E31" s="37" t="s">
        <v>149</v>
      </c>
    </row>
    <row r="32" spans="1:5" ht="14.25" customHeight="1" x14ac:dyDescent="0.3">
      <c r="A32" s="40">
        <v>30</v>
      </c>
      <c r="B32" s="183" t="s">
        <v>155</v>
      </c>
      <c r="C32" s="183" t="s">
        <v>510</v>
      </c>
      <c r="D32" s="183" t="s">
        <v>160</v>
      </c>
      <c r="E32" s="37" t="s">
        <v>717</v>
      </c>
    </row>
    <row r="33" spans="1:5" ht="14.25" customHeight="1" x14ac:dyDescent="0.3">
      <c r="A33" s="40">
        <v>31</v>
      </c>
      <c r="B33" s="183" t="s">
        <v>155</v>
      </c>
      <c r="C33" s="183" t="s">
        <v>510</v>
      </c>
      <c r="D33" s="183" t="s">
        <v>495</v>
      </c>
      <c r="E33" s="37" t="s">
        <v>717</v>
      </c>
    </row>
    <row r="34" spans="1:5" ht="14.25" customHeight="1" x14ac:dyDescent="0.3">
      <c r="A34" s="40">
        <v>32</v>
      </c>
      <c r="B34" s="183" t="s">
        <v>155</v>
      </c>
      <c r="C34" s="183" t="s">
        <v>510</v>
      </c>
      <c r="D34" s="183" t="s">
        <v>496</v>
      </c>
      <c r="E34" s="37" t="s">
        <v>717</v>
      </c>
    </row>
    <row r="35" spans="1:5" ht="14.25" customHeight="1" x14ac:dyDescent="0.3">
      <c r="A35" s="40">
        <v>33</v>
      </c>
      <c r="B35" s="183" t="s">
        <v>509</v>
      </c>
      <c r="C35" s="183" t="s">
        <v>510</v>
      </c>
      <c r="D35" s="183" t="s">
        <v>482</v>
      </c>
      <c r="E35" s="37" t="s">
        <v>487</v>
      </c>
    </row>
    <row r="36" spans="1:5" ht="14.25" customHeight="1" x14ac:dyDescent="0.3">
      <c r="A36" s="40">
        <v>34</v>
      </c>
      <c r="B36" s="183" t="s">
        <v>509</v>
      </c>
      <c r="C36" s="183" t="s">
        <v>510</v>
      </c>
      <c r="D36" s="183" t="s">
        <v>154</v>
      </c>
      <c r="E36" s="37" t="s">
        <v>487</v>
      </c>
    </row>
    <row r="37" spans="1:5" ht="14.25" customHeight="1" x14ac:dyDescent="0.3">
      <c r="A37" s="40">
        <v>35</v>
      </c>
      <c r="B37" s="183" t="s">
        <v>509</v>
      </c>
      <c r="C37" s="183" t="s">
        <v>510</v>
      </c>
      <c r="D37" s="183" t="s">
        <v>486</v>
      </c>
      <c r="E37" s="37" t="s">
        <v>487</v>
      </c>
    </row>
    <row r="38" spans="1:5" ht="14.25" customHeight="1" x14ac:dyDescent="0.3">
      <c r="A38" s="40">
        <v>36</v>
      </c>
      <c r="B38" s="183" t="s">
        <v>509</v>
      </c>
      <c r="C38" s="183" t="s">
        <v>510</v>
      </c>
      <c r="D38" s="183" t="s">
        <v>490</v>
      </c>
      <c r="E38" s="37" t="s">
        <v>487</v>
      </c>
    </row>
    <row r="39" spans="1:5" ht="14.25" customHeight="1" x14ac:dyDescent="0.3">
      <c r="A39" s="40">
        <v>37</v>
      </c>
      <c r="B39" s="183" t="s">
        <v>509</v>
      </c>
      <c r="C39" s="183" t="s">
        <v>510</v>
      </c>
      <c r="D39" s="183" t="s">
        <v>431</v>
      </c>
      <c r="E39" s="37" t="s">
        <v>487</v>
      </c>
    </row>
    <row r="40" spans="1:5" ht="14.25" customHeight="1" x14ac:dyDescent="0.3">
      <c r="A40" s="40">
        <v>38</v>
      </c>
      <c r="B40" s="183" t="s">
        <v>509</v>
      </c>
      <c r="C40" s="183" t="s">
        <v>510</v>
      </c>
      <c r="D40" s="183" t="s">
        <v>160</v>
      </c>
      <c r="E40" s="37" t="s">
        <v>487</v>
      </c>
    </row>
    <row r="41" spans="1:5" ht="14.25" customHeight="1" x14ac:dyDescent="0.3">
      <c r="A41" s="40">
        <v>39</v>
      </c>
      <c r="B41" s="183" t="s">
        <v>509</v>
      </c>
      <c r="C41" s="183" t="s">
        <v>510</v>
      </c>
      <c r="D41" s="183" t="s">
        <v>495</v>
      </c>
      <c r="E41" s="37" t="s">
        <v>487</v>
      </c>
    </row>
    <row r="42" spans="1:5" ht="14.25" customHeight="1" x14ac:dyDescent="0.3">
      <c r="A42" s="190">
        <v>40</v>
      </c>
      <c r="B42" s="191" t="s">
        <v>509</v>
      </c>
      <c r="C42" s="191" t="s">
        <v>510</v>
      </c>
      <c r="D42" s="191" t="s">
        <v>496</v>
      </c>
      <c r="E42" s="211" t="s">
        <v>487</v>
      </c>
    </row>
    <row r="43" spans="1:5" ht="14.25" customHeight="1" x14ac:dyDescent="0.3">
      <c r="A43" s="192">
        <v>41</v>
      </c>
      <c r="B43" s="193" t="s">
        <v>481</v>
      </c>
      <c r="C43" s="193" t="s">
        <v>139</v>
      </c>
      <c r="D43" s="193" t="s">
        <v>482</v>
      </c>
      <c r="E43" s="33" t="s">
        <v>149</v>
      </c>
    </row>
    <row r="44" spans="1:5" ht="14.25" customHeight="1" x14ac:dyDescent="0.3">
      <c r="A44" s="40">
        <v>42</v>
      </c>
      <c r="B44" s="183" t="s">
        <v>481</v>
      </c>
      <c r="C44" s="183" t="s">
        <v>139</v>
      </c>
      <c r="D44" s="183" t="s">
        <v>154</v>
      </c>
      <c r="E44" s="37" t="s">
        <v>149</v>
      </c>
    </row>
    <row r="45" spans="1:5" ht="14.25" customHeight="1" x14ac:dyDescent="0.3">
      <c r="A45" s="40">
        <v>43</v>
      </c>
      <c r="B45" s="183" t="s">
        <v>481</v>
      </c>
      <c r="C45" s="183" t="s">
        <v>139</v>
      </c>
      <c r="D45" s="183" t="s">
        <v>486</v>
      </c>
      <c r="E45" s="37" t="s">
        <v>717</v>
      </c>
    </row>
    <row r="46" spans="1:5" ht="14.25" customHeight="1" x14ac:dyDescent="0.3">
      <c r="A46" s="40">
        <v>44</v>
      </c>
      <c r="B46" s="183" t="s">
        <v>481</v>
      </c>
      <c r="C46" s="183" t="s">
        <v>139</v>
      </c>
      <c r="D46" s="183" t="s">
        <v>490</v>
      </c>
      <c r="E46" s="37" t="s">
        <v>717</v>
      </c>
    </row>
    <row r="47" spans="1:5" ht="14.25" customHeight="1" x14ac:dyDescent="0.3">
      <c r="A47" s="40">
        <v>45</v>
      </c>
      <c r="B47" s="183" t="s">
        <v>481</v>
      </c>
      <c r="C47" s="183" t="s">
        <v>139</v>
      </c>
      <c r="D47" s="183" t="s">
        <v>431</v>
      </c>
      <c r="E47" s="37" t="s">
        <v>717</v>
      </c>
    </row>
    <row r="48" spans="1:5" ht="14.25" customHeight="1" x14ac:dyDescent="0.3">
      <c r="A48" s="40">
        <v>46</v>
      </c>
      <c r="B48" s="183" t="s">
        <v>481</v>
      </c>
      <c r="C48" s="183" t="s">
        <v>139</v>
      </c>
      <c r="D48" s="183" t="s">
        <v>160</v>
      </c>
      <c r="E48" s="189" t="s">
        <v>493</v>
      </c>
    </row>
    <row r="49" spans="1:5" ht="14.25" customHeight="1" x14ac:dyDescent="0.3">
      <c r="A49" s="40">
        <v>47</v>
      </c>
      <c r="B49" s="183" t="s">
        <v>481</v>
      </c>
      <c r="C49" s="183" t="s">
        <v>139</v>
      </c>
      <c r="D49" s="183" t="s">
        <v>495</v>
      </c>
      <c r="E49" s="189" t="s">
        <v>493</v>
      </c>
    </row>
    <row r="50" spans="1:5" ht="14.25" customHeight="1" x14ac:dyDescent="0.3">
      <c r="A50" s="40">
        <v>48</v>
      </c>
      <c r="B50" s="183" t="s">
        <v>481</v>
      </c>
      <c r="C50" s="183" t="s">
        <v>139</v>
      </c>
      <c r="D50" s="183" t="s">
        <v>496</v>
      </c>
      <c r="E50" s="189" t="s">
        <v>493</v>
      </c>
    </row>
    <row r="51" spans="1:5" ht="14.25" customHeight="1" x14ac:dyDescent="0.3">
      <c r="A51" s="40">
        <v>49</v>
      </c>
      <c r="B51" s="183" t="s">
        <v>497</v>
      </c>
      <c r="C51" s="183" t="s">
        <v>139</v>
      </c>
      <c r="D51" s="183" t="s">
        <v>482</v>
      </c>
      <c r="E51" s="37" t="s">
        <v>149</v>
      </c>
    </row>
    <row r="52" spans="1:5" ht="14.25" customHeight="1" x14ac:dyDescent="0.3">
      <c r="A52" s="40">
        <v>50</v>
      </c>
      <c r="B52" s="183" t="s">
        <v>497</v>
      </c>
      <c r="C52" s="183" t="s">
        <v>139</v>
      </c>
      <c r="D52" s="183" t="s">
        <v>154</v>
      </c>
      <c r="E52" s="37" t="s">
        <v>149</v>
      </c>
    </row>
    <row r="53" spans="1:5" ht="14.25" customHeight="1" x14ac:dyDescent="0.3">
      <c r="A53" s="40">
        <v>51</v>
      </c>
      <c r="B53" s="183" t="s">
        <v>497</v>
      </c>
      <c r="C53" s="183" t="s">
        <v>139</v>
      </c>
      <c r="D53" s="183" t="s">
        <v>486</v>
      </c>
      <c r="E53" s="37" t="s">
        <v>717</v>
      </c>
    </row>
    <row r="54" spans="1:5" ht="14.25" customHeight="1" x14ac:dyDescent="0.3">
      <c r="A54" s="40">
        <v>52</v>
      </c>
      <c r="B54" s="183" t="s">
        <v>497</v>
      </c>
      <c r="C54" s="183" t="s">
        <v>139</v>
      </c>
      <c r="D54" s="183" t="s">
        <v>490</v>
      </c>
      <c r="E54" s="37" t="s">
        <v>717</v>
      </c>
    </row>
    <row r="55" spans="1:5" ht="14.25" customHeight="1" x14ac:dyDescent="0.3">
      <c r="A55" s="40">
        <v>53</v>
      </c>
      <c r="B55" s="183" t="s">
        <v>497</v>
      </c>
      <c r="C55" s="183" t="s">
        <v>139</v>
      </c>
      <c r="D55" s="183" t="s">
        <v>431</v>
      </c>
      <c r="E55" s="37" t="s">
        <v>717</v>
      </c>
    </row>
    <row r="56" spans="1:5" ht="14.25" customHeight="1" x14ac:dyDescent="0.3">
      <c r="A56" s="40">
        <v>54</v>
      </c>
      <c r="B56" s="183" t="s">
        <v>497</v>
      </c>
      <c r="C56" s="183" t="s">
        <v>139</v>
      </c>
      <c r="D56" s="183" t="s">
        <v>160</v>
      </c>
      <c r="E56" s="37" t="s">
        <v>719</v>
      </c>
    </row>
    <row r="57" spans="1:5" ht="14.25" customHeight="1" x14ac:dyDescent="0.3">
      <c r="A57" s="40">
        <v>55</v>
      </c>
      <c r="B57" s="183" t="s">
        <v>497</v>
      </c>
      <c r="C57" s="183" t="s">
        <v>139</v>
      </c>
      <c r="D57" s="183" t="s">
        <v>495</v>
      </c>
      <c r="E57" s="37" t="s">
        <v>719</v>
      </c>
    </row>
    <row r="58" spans="1:5" ht="14.25" customHeight="1" x14ac:dyDescent="0.3">
      <c r="A58" s="40">
        <v>56</v>
      </c>
      <c r="B58" s="183" t="s">
        <v>497</v>
      </c>
      <c r="C58" s="183" t="s">
        <v>139</v>
      </c>
      <c r="D58" s="183" t="s">
        <v>496</v>
      </c>
      <c r="E58" s="37" t="s">
        <v>719</v>
      </c>
    </row>
    <row r="59" spans="1:5" ht="14.25" customHeight="1" x14ac:dyDescent="0.3">
      <c r="A59" s="40">
        <v>57</v>
      </c>
      <c r="B59" s="183" t="s">
        <v>138</v>
      </c>
      <c r="C59" s="183" t="s">
        <v>139</v>
      </c>
      <c r="D59" s="183" t="s">
        <v>482</v>
      </c>
      <c r="E59" s="37" t="s">
        <v>159</v>
      </c>
    </row>
    <row r="60" spans="1:5" ht="14.25" customHeight="1" x14ac:dyDescent="0.3">
      <c r="A60" s="40">
        <v>58</v>
      </c>
      <c r="B60" s="183" t="s">
        <v>138</v>
      </c>
      <c r="C60" s="183" t="s">
        <v>139</v>
      </c>
      <c r="D60" s="183" t="s">
        <v>154</v>
      </c>
      <c r="E60" s="37" t="s">
        <v>159</v>
      </c>
    </row>
    <row r="61" spans="1:5" ht="14.25" customHeight="1" x14ac:dyDescent="0.3">
      <c r="A61" s="40">
        <v>59</v>
      </c>
      <c r="B61" s="183" t="s">
        <v>138</v>
      </c>
      <c r="C61" s="183" t="s">
        <v>139</v>
      </c>
      <c r="D61" s="183" t="s">
        <v>486</v>
      </c>
      <c r="E61" s="37" t="s">
        <v>149</v>
      </c>
    </row>
    <row r="62" spans="1:5" ht="14.25" customHeight="1" x14ac:dyDescent="0.3">
      <c r="A62" s="40">
        <v>60</v>
      </c>
      <c r="B62" s="183" t="s">
        <v>138</v>
      </c>
      <c r="C62" s="183" t="s">
        <v>139</v>
      </c>
      <c r="D62" s="183" t="s">
        <v>490</v>
      </c>
      <c r="E62" s="37" t="s">
        <v>149</v>
      </c>
    </row>
    <row r="63" spans="1:5" ht="14.25" customHeight="1" x14ac:dyDescent="0.3">
      <c r="A63" s="40">
        <v>61</v>
      </c>
      <c r="B63" s="183" t="s">
        <v>138</v>
      </c>
      <c r="C63" s="183" t="s">
        <v>139</v>
      </c>
      <c r="D63" s="183" t="s">
        <v>431</v>
      </c>
      <c r="E63" s="37" t="s">
        <v>149</v>
      </c>
    </row>
    <row r="64" spans="1:5" ht="14.25" customHeight="1" x14ac:dyDescent="0.3">
      <c r="A64" s="40">
        <v>62</v>
      </c>
      <c r="B64" s="183" t="s">
        <v>138</v>
      </c>
      <c r="C64" s="183" t="s">
        <v>139</v>
      </c>
      <c r="D64" s="183" t="s">
        <v>160</v>
      </c>
      <c r="E64" s="37" t="s">
        <v>717</v>
      </c>
    </row>
    <row r="65" spans="1:5" ht="14.25" customHeight="1" x14ac:dyDescent="0.3">
      <c r="A65" s="40">
        <v>63</v>
      </c>
      <c r="B65" s="183" t="s">
        <v>138</v>
      </c>
      <c r="C65" s="183" t="s">
        <v>139</v>
      </c>
      <c r="D65" s="183" t="s">
        <v>495</v>
      </c>
      <c r="E65" s="37" t="s">
        <v>717</v>
      </c>
    </row>
    <row r="66" spans="1:5" ht="14.25" customHeight="1" x14ac:dyDescent="0.3">
      <c r="A66" s="40">
        <v>64</v>
      </c>
      <c r="B66" s="183" t="s">
        <v>138</v>
      </c>
      <c r="C66" s="183" t="s">
        <v>139</v>
      </c>
      <c r="D66" s="183" t="s">
        <v>496</v>
      </c>
      <c r="E66" s="37" t="s">
        <v>717</v>
      </c>
    </row>
    <row r="67" spans="1:5" ht="14.25" customHeight="1" x14ac:dyDescent="0.3">
      <c r="A67" s="40">
        <v>65</v>
      </c>
      <c r="B67" s="183" t="s">
        <v>155</v>
      </c>
      <c r="C67" s="183" t="s">
        <v>139</v>
      </c>
      <c r="D67" s="183" t="s">
        <v>482</v>
      </c>
      <c r="E67" s="37" t="s">
        <v>720</v>
      </c>
    </row>
    <row r="68" spans="1:5" ht="14.25" customHeight="1" x14ac:dyDescent="0.3">
      <c r="A68" s="40">
        <v>66</v>
      </c>
      <c r="B68" s="183" t="s">
        <v>155</v>
      </c>
      <c r="C68" s="183" t="s">
        <v>139</v>
      </c>
      <c r="D68" s="183" t="s">
        <v>154</v>
      </c>
      <c r="E68" s="37" t="s">
        <v>720</v>
      </c>
    </row>
    <row r="69" spans="1:5" ht="14.25" customHeight="1" x14ac:dyDescent="0.3">
      <c r="A69" s="40">
        <v>67</v>
      </c>
      <c r="B69" s="183" t="s">
        <v>155</v>
      </c>
      <c r="C69" s="183" t="s">
        <v>139</v>
      </c>
      <c r="D69" s="183" t="s">
        <v>486</v>
      </c>
      <c r="E69" s="37" t="s">
        <v>159</v>
      </c>
    </row>
    <row r="70" spans="1:5" ht="14.25" customHeight="1" x14ac:dyDescent="0.3">
      <c r="A70" s="40">
        <v>68</v>
      </c>
      <c r="B70" s="183" t="s">
        <v>155</v>
      </c>
      <c r="C70" s="183" t="s">
        <v>139</v>
      </c>
      <c r="D70" s="183" t="s">
        <v>490</v>
      </c>
      <c r="E70" s="37" t="s">
        <v>159</v>
      </c>
    </row>
    <row r="71" spans="1:5" ht="14.25" customHeight="1" x14ac:dyDescent="0.3">
      <c r="A71" s="40">
        <v>69</v>
      </c>
      <c r="B71" s="183" t="s">
        <v>155</v>
      </c>
      <c r="C71" s="183" t="s">
        <v>139</v>
      </c>
      <c r="D71" s="183" t="s">
        <v>431</v>
      </c>
      <c r="E71" s="37" t="s">
        <v>159</v>
      </c>
    </row>
    <row r="72" spans="1:5" ht="21" customHeight="1" x14ac:dyDescent="0.3">
      <c r="A72" s="40">
        <v>70</v>
      </c>
      <c r="B72" s="183" t="s">
        <v>155</v>
      </c>
      <c r="C72" s="183" t="s">
        <v>139</v>
      </c>
      <c r="D72" s="183" t="s">
        <v>160</v>
      </c>
      <c r="E72" s="37" t="s">
        <v>149</v>
      </c>
    </row>
    <row r="73" spans="1:5" ht="14.25" customHeight="1" x14ac:dyDescent="0.3">
      <c r="A73" s="40">
        <v>71</v>
      </c>
      <c r="B73" s="183" t="s">
        <v>155</v>
      </c>
      <c r="C73" s="183" t="s">
        <v>139</v>
      </c>
      <c r="D73" s="183" t="s">
        <v>495</v>
      </c>
      <c r="E73" s="37" t="s">
        <v>149</v>
      </c>
    </row>
    <row r="74" spans="1:5" ht="14.25" customHeight="1" x14ac:dyDescent="0.3">
      <c r="A74" s="40">
        <v>72</v>
      </c>
      <c r="B74" s="183" t="s">
        <v>155</v>
      </c>
      <c r="C74" s="183" t="s">
        <v>139</v>
      </c>
      <c r="D74" s="183" t="s">
        <v>496</v>
      </c>
      <c r="E74" s="37" t="s">
        <v>149</v>
      </c>
    </row>
    <row r="75" spans="1:5" ht="14.25" customHeight="1" x14ac:dyDescent="0.3">
      <c r="A75" s="40">
        <v>73</v>
      </c>
      <c r="B75" s="183" t="s">
        <v>509</v>
      </c>
      <c r="C75" s="183" t="s">
        <v>139</v>
      </c>
      <c r="D75" s="183" t="s">
        <v>482</v>
      </c>
      <c r="E75" s="37" t="s">
        <v>487</v>
      </c>
    </row>
    <row r="76" spans="1:5" ht="14.25" customHeight="1" x14ac:dyDescent="0.3">
      <c r="A76" s="40">
        <v>74</v>
      </c>
      <c r="B76" s="183" t="s">
        <v>509</v>
      </c>
      <c r="C76" s="183" t="s">
        <v>139</v>
      </c>
      <c r="D76" s="183" t="s">
        <v>154</v>
      </c>
      <c r="E76" s="37" t="s">
        <v>487</v>
      </c>
    </row>
    <row r="77" spans="1:5" ht="14.25" customHeight="1" x14ac:dyDescent="0.3">
      <c r="A77" s="40">
        <v>75</v>
      </c>
      <c r="B77" s="183" t="s">
        <v>509</v>
      </c>
      <c r="C77" s="183" t="s">
        <v>139</v>
      </c>
      <c r="D77" s="183" t="s">
        <v>486</v>
      </c>
      <c r="E77" s="37" t="s">
        <v>487</v>
      </c>
    </row>
    <row r="78" spans="1:5" ht="14.25" customHeight="1" x14ac:dyDescent="0.3">
      <c r="A78" s="40">
        <v>76</v>
      </c>
      <c r="B78" s="183" t="s">
        <v>509</v>
      </c>
      <c r="C78" s="183" t="s">
        <v>139</v>
      </c>
      <c r="D78" s="183" t="s">
        <v>490</v>
      </c>
      <c r="E78" s="37" t="s">
        <v>487</v>
      </c>
    </row>
    <row r="79" spans="1:5" ht="14.25" customHeight="1" x14ac:dyDescent="0.3">
      <c r="A79" s="40">
        <v>77</v>
      </c>
      <c r="B79" s="183" t="s">
        <v>509</v>
      </c>
      <c r="C79" s="183" t="s">
        <v>139</v>
      </c>
      <c r="D79" s="183" t="s">
        <v>431</v>
      </c>
      <c r="E79" s="37" t="s">
        <v>487</v>
      </c>
    </row>
    <row r="80" spans="1:5" ht="14.25" customHeight="1" x14ac:dyDescent="0.3">
      <c r="A80" s="40">
        <v>78</v>
      </c>
      <c r="B80" s="183" t="s">
        <v>509</v>
      </c>
      <c r="C80" s="183" t="s">
        <v>139</v>
      </c>
      <c r="D80" s="183" t="s">
        <v>160</v>
      </c>
      <c r="E80" s="37" t="s">
        <v>487</v>
      </c>
    </row>
    <row r="81" spans="1:7" ht="14.25" customHeight="1" x14ac:dyDescent="0.3">
      <c r="A81" s="40">
        <v>79</v>
      </c>
      <c r="B81" s="183" t="s">
        <v>509</v>
      </c>
      <c r="C81" s="183" t="s">
        <v>139</v>
      </c>
      <c r="D81" s="183" t="s">
        <v>495</v>
      </c>
      <c r="E81" s="37" t="s">
        <v>487</v>
      </c>
    </row>
    <row r="82" spans="1:7" ht="14.25" customHeight="1" x14ac:dyDescent="0.3">
      <c r="A82" s="212">
        <v>80</v>
      </c>
      <c r="B82" s="194" t="s">
        <v>509</v>
      </c>
      <c r="C82" s="194" t="s">
        <v>139</v>
      </c>
      <c r="D82" s="194" t="s">
        <v>496</v>
      </c>
      <c r="E82" s="43" t="s">
        <v>487</v>
      </c>
    </row>
    <row r="83" spans="1:7" ht="14.25" customHeight="1" x14ac:dyDescent="0.3"/>
    <row r="84" spans="1:7" ht="14.25" customHeight="1" x14ac:dyDescent="0.3"/>
    <row r="85" spans="1:7" ht="14.25" customHeight="1" x14ac:dyDescent="0.3"/>
    <row r="86" spans="1:7" ht="14.25" customHeight="1" x14ac:dyDescent="0.3">
      <c r="A86" s="25" t="s">
        <v>721</v>
      </c>
    </row>
    <row r="87" spans="1:7" ht="14.25" customHeight="1" x14ac:dyDescent="0.3">
      <c r="A87" s="175" t="s">
        <v>473</v>
      </c>
      <c r="B87" s="176" t="s">
        <v>474</v>
      </c>
      <c r="C87" s="176" t="s">
        <v>475</v>
      </c>
      <c r="D87" s="177" t="s">
        <v>533</v>
      </c>
    </row>
    <row r="88" spans="1:7" ht="14.25" customHeight="1" x14ac:dyDescent="0.3">
      <c r="A88" s="178">
        <v>1</v>
      </c>
      <c r="B88" s="179" t="s">
        <v>481</v>
      </c>
      <c r="C88" s="179" t="s">
        <v>482</v>
      </c>
      <c r="D88" s="180" t="s">
        <v>487</v>
      </c>
      <c r="G88" s="160" t="s">
        <v>722</v>
      </c>
    </row>
    <row r="89" spans="1:7" ht="14.25" customHeight="1" x14ac:dyDescent="0.3">
      <c r="A89" s="40">
        <v>2</v>
      </c>
      <c r="B89" s="183" t="s">
        <v>481</v>
      </c>
      <c r="C89" s="183" t="s">
        <v>154</v>
      </c>
      <c r="D89" s="37" t="s">
        <v>487</v>
      </c>
      <c r="G89" s="166" t="s">
        <v>723</v>
      </c>
    </row>
    <row r="90" spans="1:7" ht="14.25" customHeight="1" x14ac:dyDescent="0.3">
      <c r="A90" s="40">
        <v>3</v>
      </c>
      <c r="B90" s="183" t="s">
        <v>481</v>
      </c>
      <c r="C90" s="183" t="s">
        <v>486</v>
      </c>
      <c r="D90" s="37" t="s">
        <v>487</v>
      </c>
    </row>
    <row r="91" spans="1:7" ht="14.25" customHeight="1" x14ac:dyDescent="0.3">
      <c r="A91" s="40">
        <v>4</v>
      </c>
      <c r="B91" s="183" t="s">
        <v>481</v>
      </c>
      <c r="C91" s="183" t="s">
        <v>490</v>
      </c>
      <c r="D91" s="37" t="s">
        <v>487</v>
      </c>
      <c r="G91" s="160" t="s">
        <v>724</v>
      </c>
    </row>
    <row r="92" spans="1:7" ht="14.25" customHeight="1" x14ac:dyDescent="0.3">
      <c r="A92" s="40">
        <v>5</v>
      </c>
      <c r="B92" s="183" t="s">
        <v>481</v>
      </c>
      <c r="C92" s="183" t="s">
        <v>431</v>
      </c>
      <c r="D92" s="37" t="s">
        <v>487</v>
      </c>
      <c r="G92" s="166" t="s">
        <v>725</v>
      </c>
    </row>
    <row r="93" spans="1:7" ht="14.25" customHeight="1" x14ac:dyDescent="0.3">
      <c r="A93" s="40">
        <v>6</v>
      </c>
      <c r="B93" s="183" t="s">
        <v>481</v>
      </c>
      <c r="C93" s="183" t="s">
        <v>160</v>
      </c>
      <c r="D93" s="37" t="s">
        <v>487</v>
      </c>
      <c r="G93" s="160" t="s">
        <v>108</v>
      </c>
    </row>
    <row r="94" spans="1:7" ht="14.25" customHeight="1" x14ac:dyDescent="0.3">
      <c r="A94" s="40">
        <v>7</v>
      </c>
      <c r="B94" s="183" t="s">
        <v>481</v>
      </c>
      <c r="C94" s="183" t="s">
        <v>495</v>
      </c>
      <c r="D94" s="37" t="s">
        <v>487</v>
      </c>
      <c r="G94" s="166" t="s">
        <v>726</v>
      </c>
    </row>
    <row r="95" spans="1:7" ht="14.25" customHeight="1" x14ac:dyDescent="0.3">
      <c r="A95" s="40">
        <v>8</v>
      </c>
      <c r="B95" s="183" t="s">
        <v>481</v>
      </c>
      <c r="C95" s="183" t="s">
        <v>496</v>
      </c>
      <c r="D95" s="37" t="s">
        <v>487</v>
      </c>
      <c r="G95" s="160" t="s">
        <v>111</v>
      </c>
    </row>
    <row r="96" spans="1:7" ht="14.25" customHeight="1" x14ac:dyDescent="0.3">
      <c r="A96" s="40">
        <v>9</v>
      </c>
      <c r="B96" s="183" t="s">
        <v>497</v>
      </c>
      <c r="C96" s="183" t="s">
        <v>482</v>
      </c>
      <c r="D96" s="37" t="s">
        <v>487</v>
      </c>
      <c r="G96" s="166" t="s">
        <v>727</v>
      </c>
    </row>
    <row r="97" spans="1:4" ht="14.25" customHeight="1" x14ac:dyDescent="0.3">
      <c r="A97" s="40">
        <v>10</v>
      </c>
      <c r="B97" s="183" t="s">
        <v>497</v>
      </c>
      <c r="C97" s="183" t="s">
        <v>154</v>
      </c>
      <c r="D97" s="37" t="s">
        <v>487</v>
      </c>
    </row>
    <row r="98" spans="1:4" ht="14.25" customHeight="1" x14ac:dyDescent="0.3">
      <c r="A98" s="40">
        <v>11</v>
      </c>
      <c r="B98" s="183" t="s">
        <v>497</v>
      </c>
      <c r="C98" s="183" t="s">
        <v>486</v>
      </c>
      <c r="D98" s="37" t="s">
        <v>487</v>
      </c>
    </row>
    <row r="99" spans="1:4" ht="14.25" customHeight="1" x14ac:dyDescent="0.3">
      <c r="A99" s="40">
        <v>12</v>
      </c>
      <c r="B99" s="183" t="s">
        <v>497</v>
      </c>
      <c r="C99" s="183" t="s">
        <v>490</v>
      </c>
      <c r="D99" s="37" t="s">
        <v>487</v>
      </c>
    </row>
    <row r="100" spans="1:4" ht="14.25" customHeight="1" x14ac:dyDescent="0.3">
      <c r="A100" s="40">
        <v>13</v>
      </c>
      <c r="B100" s="183" t="s">
        <v>497</v>
      </c>
      <c r="C100" s="183" t="s">
        <v>431</v>
      </c>
      <c r="D100" s="37" t="s">
        <v>487</v>
      </c>
    </row>
    <row r="101" spans="1:4" ht="14.25" customHeight="1" x14ac:dyDescent="0.3">
      <c r="A101" s="40">
        <v>14</v>
      </c>
      <c r="B101" s="183" t="s">
        <v>497</v>
      </c>
      <c r="C101" s="183" t="s">
        <v>160</v>
      </c>
      <c r="D101" s="37" t="s">
        <v>487</v>
      </c>
    </row>
    <row r="102" spans="1:4" ht="14.25" customHeight="1" x14ac:dyDescent="0.3">
      <c r="A102" s="40">
        <v>15</v>
      </c>
      <c r="B102" s="183" t="s">
        <v>497</v>
      </c>
      <c r="C102" s="183" t="s">
        <v>495</v>
      </c>
      <c r="D102" s="37" t="s">
        <v>487</v>
      </c>
    </row>
    <row r="103" spans="1:4" ht="14.25" customHeight="1" x14ac:dyDescent="0.3">
      <c r="A103" s="40">
        <v>16</v>
      </c>
      <c r="B103" s="183" t="s">
        <v>497</v>
      </c>
      <c r="C103" s="183" t="s">
        <v>496</v>
      </c>
      <c r="D103" s="37" t="s">
        <v>487</v>
      </c>
    </row>
    <row r="104" spans="1:4" ht="14.25" customHeight="1" x14ac:dyDescent="0.3">
      <c r="A104" s="40">
        <v>17</v>
      </c>
      <c r="B104" s="183" t="s">
        <v>138</v>
      </c>
      <c r="C104" s="183" t="s">
        <v>482</v>
      </c>
      <c r="D104" s="37" t="s">
        <v>728</v>
      </c>
    </row>
    <row r="105" spans="1:4" ht="14.25" customHeight="1" x14ac:dyDescent="0.3">
      <c r="A105" s="40">
        <v>18</v>
      </c>
      <c r="B105" s="183" t="s">
        <v>138</v>
      </c>
      <c r="C105" s="183" t="s">
        <v>154</v>
      </c>
      <c r="D105" s="37" t="s">
        <v>728</v>
      </c>
    </row>
    <row r="106" spans="1:4" ht="14.25" customHeight="1" x14ac:dyDescent="0.3">
      <c r="A106" s="40">
        <v>19</v>
      </c>
      <c r="B106" s="183" t="s">
        <v>138</v>
      </c>
      <c r="C106" s="183" t="s">
        <v>486</v>
      </c>
      <c r="D106" s="37" t="s">
        <v>720</v>
      </c>
    </row>
    <row r="107" spans="1:4" ht="14.25" customHeight="1" x14ac:dyDescent="0.3">
      <c r="A107" s="40">
        <v>20</v>
      </c>
      <c r="B107" s="183" t="s">
        <v>138</v>
      </c>
      <c r="C107" s="183" t="s">
        <v>490</v>
      </c>
      <c r="D107" s="37" t="s">
        <v>720</v>
      </c>
    </row>
    <row r="108" spans="1:4" ht="14.25" customHeight="1" x14ac:dyDescent="0.3">
      <c r="A108" s="40">
        <v>21</v>
      </c>
      <c r="B108" s="183" t="s">
        <v>138</v>
      </c>
      <c r="C108" s="183" t="s">
        <v>431</v>
      </c>
      <c r="D108" s="37" t="s">
        <v>720</v>
      </c>
    </row>
    <row r="109" spans="1:4" ht="14.25" customHeight="1" x14ac:dyDescent="0.3">
      <c r="A109" s="40">
        <v>22</v>
      </c>
      <c r="B109" s="183" t="s">
        <v>138</v>
      </c>
      <c r="C109" s="183" t="s">
        <v>160</v>
      </c>
      <c r="D109" s="37" t="s">
        <v>159</v>
      </c>
    </row>
    <row r="110" spans="1:4" ht="14.25" customHeight="1" x14ac:dyDescent="0.3">
      <c r="A110" s="40">
        <v>23</v>
      </c>
      <c r="B110" s="183" t="s">
        <v>138</v>
      </c>
      <c r="C110" s="183" t="s">
        <v>495</v>
      </c>
      <c r="D110" s="37" t="s">
        <v>159</v>
      </c>
    </row>
    <row r="111" spans="1:4" ht="14.25" customHeight="1" x14ac:dyDescent="0.3">
      <c r="A111" s="40">
        <v>24</v>
      </c>
      <c r="B111" s="183" t="s">
        <v>138</v>
      </c>
      <c r="C111" s="183" t="s">
        <v>496</v>
      </c>
      <c r="D111" s="37" t="s">
        <v>159</v>
      </c>
    </row>
    <row r="112" spans="1:4" ht="14.25" customHeight="1" x14ac:dyDescent="0.3">
      <c r="A112" s="40">
        <v>25</v>
      </c>
      <c r="B112" s="183" t="s">
        <v>155</v>
      </c>
      <c r="C112" s="183" t="s">
        <v>482</v>
      </c>
      <c r="D112" s="37" t="s">
        <v>729</v>
      </c>
    </row>
    <row r="113" spans="1:4" ht="14.25" customHeight="1" x14ac:dyDescent="0.3">
      <c r="A113" s="40">
        <v>26</v>
      </c>
      <c r="B113" s="183" t="s">
        <v>155</v>
      </c>
      <c r="C113" s="183" t="s">
        <v>154</v>
      </c>
      <c r="D113" s="37" t="s">
        <v>729</v>
      </c>
    </row>
    <row r="114" spans="1:4" ht="14.25" customHeight="1" x14ac:dyDescent="0.3">
      <c r="A114" s="40">
        <v>27</v>
      </c>
      <c r="B114" s="183" t="s">
        <v>155</v>
      </c>
      <c r="C114" s="183" t="s">
        <v>486</v>
      </c>
      <c r="D114" s="37" t="s">
        <v>728</v>
      </c>
    </row>
    <row r="115" spans="1:4" ht="14.25" customHeight="1" x14ac:dyDescent="0.3">
      <c r="A115" s="40">
        <v>28</v>
      </c>
      <c r="B115" s="183" t="s">
        <v>155</v>
      </c>
      <c r="C115" s="183" t="s">
        <v>490</v>
      </c>
      <c r="D115" s="37" t="s">
        <v>728</v>
      </c>
    </row>
    <row r="116" spans="1:4" ht="14.25" customHeight="1" x14ac:dyDescent="0.3">
      <c r="A116" s="40">
        <v>29</v>
      </c>
      <c r="B116" s="183" t="s">
        <v>155</v>
      </c>
      <c r="C116" s="183" t="s">
        <v>431</v>
      </c>
      <c r="D116" s="37" t="s">
        <v>728</v>
      </c>
    </row>
    <row r="117" spans="1:4" ht="14.25" customHeight="1" x14ac:dyDescent="0.3">
      <c r="A117" s="40">
        <v>30</v>
      </c>
      <c r="B117" s="183" t="s">
        <v>155</v>
      </c>
      <c r="C117" s="183" t="s">
        <v>160</v>
      </c>
      <c r="D117" s="37" t="s">
        <v>720</v>
      </c>
    </row>
    <row r="118" spans="1:4" ht="14.25" customHeight="1" x14ac:dyDescent="0.3">
      <c r="A118" s="40">
        <v>31</v>
      </c>
      <c r="B118" s="183" t="s">
        <v>155</v>
      </c>
      <c r="C118" s="183" t="s">
        <v>495</v>
      </c>
      <c r="D118" s="37" t="s">
        <v>720</v>
      </c>
    </row>
    <row r="119" spans="1:4" ht="14.25" customHeight="1" x14ac:dyDescent="0.3">
      <c r="A119" s="40">
        <v>32</v>
      </c>
      <c r="B119" s="183" t="s">
        <v>155</v>
      </c>
      <c r="C119" s="183" t="s">
        <v>496</v>
      </c>
      <c r="D119" s="37" t="s">
        <v>720</v>
      </c>
    </row>
    <row r="120" spans="1:4" ht="14.25" customHeight="1" x14ac:dyDescent="0.3">
      <c r="A120" s="40">
        <v>33</v>
      </c>
      <c r="B120" s="183" t="s">
        <v>509</v>
      </c>
      <c r="C120" s="183" t="s">
        <v>482</v>
      </c>
      <c r="D120" s="37" t="s">
        <v>487</v>
      </c>
    </row>
    <row r="121" spans="1:4" ht="14.25" customHeight="1" x14ac:dyDescent="0.3">
      <c r="A121" s="40">
        <v>34</v>
      </c>
      <c r="B121" s="183" t="s">
        <v>509</v>
      </c>
      <c r="C121" s="183" t="s">
        <v>154</v>
      </c>
      <c r="D121" s="37" t="s">
        <v>487</v>
      </c>
    </row>
    <row r="122" spans="1:4" ht="14.25" customHeight="1" x14ac:dyDescent="0.3">
      <c r="A122" s="40">
        <v>35</v>
      </c>
      <c r="B122" s="183" t="s">
        <v>509</v>
      </c>
      <c r="C122" s="183" t="s">
        <v>486</v>
      </c>
      <c r="D122" s="37" t="s">
        <v>487</v>
      </c>
    </row>
    <row r="123" spans="1:4" ht="14.25" customHeight="1" x14ac:dyDescent="0.3">
      <c r="A123" s="40">
        <v>36</v>
      </c>
      <c r="B123" s="183" t="s">
        <v>509</v>
      </c>
      <c r="C123" s="183" t="s">
        <v>490</v>
      </c>
      <c r="D123" s="37" t="s">
        <v>487</v>
      </c>
    </row>
    <row r="124" spans="1:4" ht="14.25" customHeight="1" x14ac:dyDescent="0.3">
      <c r="A124" s="40">
        <v>37</v>
      </c>
      <c r="B124" s="183" t="s">
        <v>509</v>
      </c>
      <c r="C124" s="183" t="s">
        <v>431</v>
      </c>
      <c r="D124" s="37" t="s">
        <v>487</v>
      </c>
    </row>
    <row r="125" spans="1:4" ht="14.25" customHeight="1" x14ac:dyDescent="0.3">
      <c r="A125" s="40">
        <v>38</v>
      </c>
      <c r="B125" s="183" t="s">
        <v>509</v>
      </c>
      <c r="C125" s="183" t="s">
        <v>160</v>
      </c>
      <c r="D125" s="37" t="s">
        <v>487</v>
      </c>
    </row>
    <row r="126" spans="1:4" ht="14.25" customHeight="1" x14ac:dyDescent="0.3">
      <c r="A126" s="40">
        <v>39</v>
      </c>
      <c r="B126" s="183" t="s">
        <v>509</v>
      </c>
      <c r="C126" s="183" t="s">
        <v>495</v>
      </c>
      <c r="D126" s="37" t="s">
        <v>487</v>
      </c>
    </row>
    <row r="127" spans="1:4" ht="14.25" customHeight="1" x14ac:dyDescent="0.3">
      <c r="A127" s="212">
        <v>40</v>
      </c>
      <c r="B127" s="194" t="s">
        <v>509</v>
      </c>
      <c r="C127" s="194" t="s">
        <v>496</v>
      </c>
      <c r="D127" s="43" t="s">
        <v>487</v>
      </c>
    </row>
    <row r="128" spans="1:4" ht="14.25" customHeight="1" x14ac:dyDescent="0.3"/>
    <row r="129" spans="1:7" ht="14.25" customHeight="1" x14ac:dyDescent="0.3"/>
    <row r="130" spans="1:7" ht="14.25" customHeight="1" x14ac:dyDescent="0.3"/>
    <row r="131" spans="1:7" ht="14.25" customHeight="1" x14ac:dyDescent="0.3"/>
    <row r="132" spans="1:7" ht="14.25" customHeight="1" x14ac:dyDescent="0.3">
      <c r="A132" s="25" t="s">
        <v>730</v>
      </c>
    </row>
    <row r="133" spans="1:7" ht="14.25" customHeight="1" x14ac:dyDescent="0.3">
      <c r="A133" s="175" t="s">
        <v>473</v>
      </c>
      <c r="B133" s="176" t="s">
        <v>474</v>
      </c>
      <c r="C133" s="176" t="s">
        <v>475</v>
      </c>
      <c r="D133" s="177" t="s">
        <v>533</v>
      </c>
      <c r="G133" s="160" t="s">
        <v>731</v>
      </c>
    </row>
    <row r="134" spans="1:7" ht="14.25" customHeight="1" x14ac:dyDescent="0.3">
      <c r="A134" s="178">
        <v>9</v>
      </c>
      <c r="B134" s="179" t="s">
        <v>497</v>
      </c>
      <c r="C134" s="179" t="s">
        <v>482</v>
      </c>
      <c r="D134" s="180" t="s">
        <v>159</v>
      </c>
      <c r="G134" s="166" t="s">
        <v>732</v>
      </c>
    </row>
    <row r="135" spans="1:7" ht="14.25" customHeight="1" x14ac:dyDescent="0.3">
      <c r="A135" s="40">
        <v>10</v>
      </c>
      <c r="B135" s="183" t="s">
        <v>497</v>
      </c>
      <c r="C135" s="183" t="s">
        <v>154</v>
      </c>
      <c r="D135" s="37" t="s">
        <v>159</v>
      </c>
    </row>
    <row r="136" spans="1:7" ht="14.25" customHeight="1" x14ac:dyDescent="0.3">
      <c r="A136" s="40">
        <v>11</v>
      </c>
      <c r="B136" s="183" t="s">
        <v>497</v>
      </c>
      <c r="C136" s="183" t="s">
        <v>486</v>
      </c>
      <c r="D136" s="37" t="s">
        <v>149</v>
      </c>
    </row>
    <row r="137" spans="1:7" ht="14.25" customHeight="1" x14ac:dyDescent="0.3">
      <c r="A137" s="40">
        <v>12</v>
      </c>
      <c r="B137" s="183" t="s">
        <v>497</v>
      </c>
      <c r="C137" s="183" t="s">
        <v>490</v>
      </c>
      <c r="D137" s="37" t="s">
        <v>149</v>
      </c>
    </row>
    <row r="138" spans="1:7" ht="14.25" customHeight="1" x14ac:dyDescent="0.3">
      <c r="A138" s="40">
        <v>13</v>
      </c>
      <c r="B138" s="183" t="s">
        <v>497</v>
      </c>
      <c r="C138" s="183" t="s">
        <v>431</v>
      </c>
      <c r="D138" s="37" t="s">
        <v>149</v>
      </c>
      <c r="G138" s="219">
        <v>1.4</v>
      </c>
    </row>
    <row r="139" spans="1:7" ht="14.25" customHeight="1" x14ac:dyDescent="0.3">
      <c r="A139" s="40">
        <v>14</v>
      </c>
      <c r="B139" s="183" t="s">
        <v>497</v>
      </c>
      <c r="C139" s="183" t="s">
        <v>160</v>
      </c>
      <c r="D139" s="37" t="s">
        <v>717</v>
      </c>
      <c r="G139" s="166" t="s">
        <v>733</v>
      </c>
    </row>
    <row r="140" spans="1:7" ht="14.25" customHeight="1" x14ac:dyDescent="0.3">
      <c r="A140" s="40">
        <v>15</v>
      </c>
      <c r="B140" s="183" t="s">
        <v>497</v>
      </c>
      <c r="C140" s="183" t="s">
        <v>495</v>
      </c>
      <c r="D140" s="37" t="s">
        <v>717</v>
      </c>
    </row>
    <row r="141" spans="1:7" ht="14.25" customHeight="1" x14ac:dyDescent="0.3">
      <c r="A141" s="40">
        <v>16</v>
      </c>
      <c r="B141" s="183" t="s">
        <v>497</v>
      </c>
      <c r="C141" s="183" t="s">
        <v>496</v>
      </c>
      <c r="D141" s="37" t="s">
        <v>717</v>
      </c>
    </row>
    <row r="142" spans="1:7" ht="14.25" customHeight="1" x14ac:dyDescent="0.3">
      <c r="A142" s="40">
        <v>17</v>
      </c>
      <c r="B142" s="183" t="s">
        <v>138</v>
      </c>
      <c r="C142" s="183" t="s">
        <v>482</v>
      </c>
      <c r="D142" s="37" t="s">
        <v>720</v>
      </c>
    </row>
    <row r="143" spans="1:7" ht="14.25" customHeight="1" x14ac:dyDescent="0.3">
      <c r="A143" s="40">
        <v>18</v>
      </c>
      <c r="B143" s="183" t="s">
        <v>138</v>
      </c>
      <c r="C143" s="183" t="s">
        <v>154</v>
      </c>
      <c r="D143" s="37" t="s">
        <v>720</v>
      </c>
    </row>
    <row r="144" spans="1:7" ht="14.25" customHeight="1" x14ac:dyDescent="0.3">
      <c r="A144" s="40">
        <v>19</v>
      </c>
      <c r="B144" s="183" t="s">
        <v>138</v>
      </c>
      <c r="C144" s="183" t="s">
        <v>486</v>
      </c>
      <c r="D144" s="37" t="s">
        <v>720</v>
      </c>
    </row>
    <row r="145" spans="1:4" ht="14.25" customHeight="1" x14ac:dyDescent="0.3">
      <c r="A145" s="40">
        <v>20</v>
      </c>
      <c r="B145" s="183" t="s">
        <v>138</v>
      </c>
      <c r="C145" s="183" t="s">
        <v>490</v>
      </c>
      <c r="D145" s="37" t="s">
        <v>720</v>
      </c>
    </row>
    <row r="146" spans="1:4" ht="14.25" customHeight="1" x14ac:dyDescent="0.3">
      <c r="A146" s="40">
        <v>21</v>
      </c>
      <c r="B146" s="183" t="s">
        <v>138</v>
      </c>
      <c r="C146" s="183" t="s">
        <v>431</v>
      </c>
      <c r="D146" s="37" t="s">
        <v>720</v>
      </c>
    </row>
    <row r="147" spans="1:4" ht="14.25" customHeight="1" x14ac:dyDescent="0.3">
      <c r="A147" s="40">
        <v>22</v>
      </c>
      <c r="B147" s="183" t="s">
        <v>138</v>
      </c>
      <c r="C147" s="183" t="s">
        <v>160</v>
      </c>
      <c r="D147" s="37" t="s">
        <v>720</v>
      </c>
    </row>
    <row r="148" spans="1:4" ht="14.25" customHeight="1" x14ac:dyDescent="0.3">
      <c r="A148" s="40">
        <v>23</v>
      </c>
      <c r="B148" s="183" t="s">
        <v>138</v>
      </c>
      <c r="C148" s="183" t="s">
        <v>495</v>
      </c>
      <c r="D148" s="37" t="s">
        <v>720</v>
      </c>
    </row>
    <row r="149" spans="1:4" ht="14.25" customHeight="1" x14ac:dyDescent="0.3">
      <c r="A149" s="40">
        <v>24</v>
      </c>
      <c r="B149" s="183" t="s">
        <v>138</v>
      </c>
      <c r="C149" s="183" t="s">
        <v>496</v>
      </c>
      <c r="D149" s="37" t="s">
        <v>720</v>
      </c>
    </row>
    <row r="150" spans="1:4" ht="14.25" customHeight="1" x14ac:dyDescent="0.3">
      <c r="A150" s="40">
        <v>25</v>
      </c>
      <c r="B150" s="183" t="s">
        <v>155</v>
      </c>
      <c r="C150" s="183" t="s">
        <v>482</v>
      </c>
      <c r="D150" s="37" t="s">
        <v>720</v>
      </c>
    </row>
    <row r="151" spans="1:4" ht="14.25" customHeight="1" x14ac:dyDescent="0.3">
      <c r="A151" s="40">
        <v>26</v>
      </c>
      <c r="B151" s="183" t="s">
        <v>155</v>
      </c>
      <c r="C151" s="183" t="s">
        <v>154</v>
      </c>
      <c r="D151" s="37" t="s">
        <v>720</v>
      </c>
    </row>
    <row r="152" spans="1:4" ht="14.25" customHeight="1" x14ac:dyDescent="0.3">
      <c r="A152" s="40">
        <v>27</v>
      </c>
      <c r="B152" s="183" t="s">
        <v>155</v>
      </c>
      <c r="C152" s="183" t="s">
        <v>486</v>
      </c>
      <c r="D152" s="37" t="s">
        <v>720</v>
      </c>
    </row>
    <row r="153" spans="1:4" ht="14.25" customHeight="1" x14ac:dyDescent="0.3">
      <c r="A153" s="40">
        <v>28</v>
      </c>
      <c r="B153" s="183" t="s">
        <v>155</v>
      </c>
      <c r="C153" s="183" t="s">
        <v>490</v>
      </c>
      <c r="D153" s="37" t="s">
        <v>720</v>
      </c>
    </row>
    <row r="154" spans="1:4" ht="14.25" customHeight="1" x14ac:dyDescent="0.3">
      <c r="A154" s="40">
        <v>29</v>
      </c>
      <c r="B154" s="183" t="s">
        <v>155</v>
      </c>
      <c r="C154" s="183" t="s">
        <v>431</v>
      </c>
      <c r="D154" s="37" t="s">
        <v>720</v>
      </c>
    </row>
    <row r="155" spans="1:4" ht="14.25" customHeight="1" x14ac:dyDescent="0.3">
      <c r="A155" s="40">
        <v>30</v>
      </c>
      <c r="B155" s="183" t="s">
        <v>155</v>
      </c>
      <c r="C155" s="183" t="s">
        <v>160</v>
      </c>
      <c r="D155" s="37" t="s">
        <v>720</v>
      </c>
    </row>
    <row r="156" spans="1:4" ht="14.25" customHeight="1" x14ac:dyDescent="0.3">
      <c r="A156" s="40">
        <v>31</v>
      </c>
      <c r="B156" s="183" t="s">
        <v>155</v>
      </c>
      <c r="C156" s="183" t="s">
        <v>495</v>
      </c>
      <c r="D156" s="37" t="s">
        <v>720</v>
      </c>
    </row>
    <row r="157" spans="1:4" ht="14.25" customHeight="1" x14ac:dyDescent="0.3">
      <c r="A157" s="190">
        <v>32</v>
      </c>
      <c r="B157" s="191" t="s">
        <v>155</v>
      </c>
      <c r="C157" s="191" t="s">
        <v>496</v>
      </c>
      <c r="D157" s="211" t="s">
        <v>720</v>
      </c>
    </row>
    <row r="158" spans="1:4" ht="14.25" customHeight="1" x14ac:dyDescent="0.3">
      <c r="A158" s="192">
        <v>33</v>
      </c>
      <c r="B158" s="193" t="s">
        <v>509</v>
      </c>
      <c r="C158" s="193" t="s">
        <v>482</v>
      </c>
      <c r="D158" s="33" t="s">
        <v>487</v>
      </c>
    </row>
    <row r="159" spans="1:4" ht="14.25" customHeight="1" x14ac:dyDescent="0.3">
      <c r="A159" s="40">
        <v>34</v>
      </c>
      <c r="B159" s="183" t="s">
        <v>509</v>
      </c>
      <c r="C159" s="183" t="s">
        <v>154</v>
      </c>
      <c r="D159" s="37" t="s">
        <v>487</v>
      </c>
    </row>
    <row r="160" spans="1:4" ht="14.25" customHeight="1" x14ac:dyDescent="0.3">
      <c r="A160" s="40">
        <v>35</v>
      </c>
      <c r="B160" s="183" t="s">
        <v>509</v>
      </c>
      <c r="C160" s="183" t="s">
        <v>486</v>
      </c>
      <c r="D160" s="37" t="s">
        <v>487</v>
      </c>
    </row>
    <row r="161" spans="1:4" ht="14.25" customHeight="1" x14ac:dyDescent="0.3">
      <c r="A161" s="40">
        <v>36</v>
      </c>
      <c r="B161" s="183" t="s">
        <v>509</v>
      </c>
      <c r="C161" s="183" t="s">
        <v>490</v>
      </c>
      <c r="D161" s="37" t="s">
        <v>487</v>
      </c>
    </row>
    <row r="162" spans="1:4" ht="14.25" customHeight="1" x14ac:dyDescent="0.3">
      <c r="A162" s="40">
        <v>37</v>
      </c>
      <c r="B162" s="183" t="s">
        <v>509</v>
      </c>
      <c r="C162" s="183" t="s">
        <v>431</v>
      </c>
      <c r="D162" s="37" t="s">
        <v>487</v>
      </c>
    </row>
    <row r="163" spans="1:4" ht="14.25" customHeight="1" x14ac:dyDescent="0.3">
      <c r="A163" s="40">
        <v>38</v>
      </c>
      <c r="B163" s="183" t="s">
        <v>509</v>
      </c>
      <c r="C163" s="183" t="s">
        <v>160</v>
      </c>
      <c r="D163" s="37" t="s">
        <v>487</v>
      </c>
    </row>
    <row r="164" spans="1:4" ht="14.25" customHeight="1" x14ac:dyDescent="0.3">
      <c r="A164" s="40">
        <v>39</v>
      </c>
      <c r="B164" s="183" t="s">
        <v>509</v>
      </c>
      <c r="C164" s="183" t="s">
        <v>495</v>
      </c>
      <c r="D164" s="37" t="s">
        <v>487</v>
      </c>
    </row>
    <row r="165" spans="1:4" ht="14.25" customHeight="1" x14ac:dyDescent="0.3">
      <c r="A165" s="212">
        <v>40</v>
      </c>
      <c r="B165" s="194" t="s">
        <v>509</v>
      </c>
      <c r="C165" s="194" t="s">
        <v>496</v>
      </c>
      <c r="D165" s="43" t="s">
        <v>487</v>
      </c>
    </row>
    <row r="166" spans="1:4" ht="14.25" customHeight="1" x14ac:dyDescent="0.3"/>
    <row r="167" spans="1:4" ht="14.25" customHeight="1" x14ac:dyDescent="0.3"/>
    <row r="168" spans="1:4" ht="14.25" customHeight="1" x14ac:dyDescent="0.3"/>
    <row r="169" spans="1:4" ht="14.25" customHeight="1" x14ac:dyDescent="0.3"/>
    <row r="170" spans="1:4" ht="14.25" customHeight="1" x14ac:dyDescent="0.3"/>
    <row r="171" spans="1:4" ht="14.25" customHeight="1" x14ac:dyDescent="0.3"/>
    <row r="172" spans="1:4" ht="14.25" customHeight="1" x14ac:dyDescent="0.3"/>
    <row r="173" spans="1:4" ht="14.25" customHeight="1" x14ac:dyDescent="0.3"/>
    <row r="174" spans="1:4" ht="14.25" customHeight="1" x14ac:dyDescent="0.3"/>
    <row r="175" spans="1:4" ht="14.25" customHeight="1" x14ac:dyDescent="0.3"/>
    <row r="176" spans="1:4"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
  <dimension ref="A1:L1000"/>
  <sheetViews>
    <sheetView workbookViewId="0"/>
  </sheetViews>
  <sheetFormatPr baseColWidth="10" defaultColWidth="14.44140625" defaultRowHeight="15" customHeight="1" x14ac:dyDescent="0.3"/>
  <cols>
    <col min="1" max="1" width="8.88671875" customWidth="1"/>
    <col min="2" max="2" width="14.5546875" customWidth="1"/>
    <col min="3" max="3" width="8.88671875" customWidth="1"/>
    <col min="4" max="4" width="15.33203125" customWidth="1"/>
    <col min="5" max="5" width="12.6640625" customWidth="1"/>
    <col min="6" max="6" width="8.88671875" customWidth="1"/>
    <col min="7" max="7" width="21.5546875" customWidth="1"/>
    <col min="8" max="8" width="9.88671875" customWidth="1"/>
    <col min="9" max="9" width="32.33203125" customWidth="1"/>
    <col min="10" max="10" width="37.109375" customWidth="1"/>
    <col min="11" max="11" width="17.44140625" customWidth="1"/>
    <col min="12" max="12" width="71.109375" customWidth="1"/>
  </cols>
  <sheetData>
    <row r="1" spans="1:12" ht="14.25" customHeight="1" x14ac:dyDescent="0.3">
      <c r="A1" s="268" t="s">
        <v>734</v>
      </c>
      <c r="B1" s="268"/>
      <c r="C1" s="268"/>
      <c r="D1" s="268"/>
      <c r="E1" s="268"/>
      <c r="F1" s="268"/>
    </row>
    <row r="2" spans="1:12" ht="14.25" customHeight="1" x14ac:dyDescent="0.3">
      <c r="A2" s="236" t="s">
        <v>473</v>
      </c>
      <c r="B2" s="269" t="s">
        <v>474</v>
      </c>
      <c r="C2" s="269" t="s">
        <v>5</v>
      </c>
      <c r="D2" s="209" t="s">
        <v>735</v>
      </c>
      <c r="E2" s="269" t="s">
        <v>736</v>
      </c>
      <c r="F2" s="270" t="s">
        <v>737</v>
      </c>
      <c r="G2" s="175" t="s">
        <v>738</v>
      </c>
      <c r="H2" s="271" t="s">
        <v>737</v>
      </c>
      <c r="I2" s="175" t="s">
        <v>739</v>
      </c>
      <c r="J2" s="177" t="s">
        <v>737</v>
      </c>
      <c r="L2" s="160" t="s">
        <v>740</v>
      </c>
    </row>
    <row r="3" spans="1:12" ht="34.5" customHeight="1" x14ac:dyDescent="0.3">
      <c r="A3" s="40">
        <v>1</v>
      </c>
      <c r="B3" s="183" t="s">
        <v>481</v>
      </c>
      <c r="C3" s="183" t="s">
        <v>482</v>
      </c>
      <c r="D3" s="183" t="s">
        <v>236</v>
      </c>
      <c r="E3" s="183">
        <v>300</v>
      </c>
      <c r="F3" s="272" t="s">
        <v>150</v>
      </c>
      <c r="G3" s="178">
        <v>400</v>
      </c>
      <c r="H3" s="273" t="s">
        <v>150</v>
      </c>
      <c r="I3" s="178" t="s">
        <v>741</v>
      </c>
      <c r="J3" s="180" t="s">
        <v>742</v>
      </c>
      <c r="L3" s="166" t="s">
        <v>743</v>
      </c>
    </row>
    <row r="4" spans="1:12" ht="14.25" customHeight="1" x14ac:dyDescent="0.3">
      <c r="A4" s="40">
        <v>2</v>
      </c>
      <c r="B4" s="183" t="s">
        <v>481</v>
      </c>
      <c r="C4" s="183" t="s">
        <v>154</v>
      </c>
      <c r="D4" s="183" t="s">
        <v>236</v>
      </c>
      <c r="E4" s="183">
        <v>300</v>
      </c>
      <c r="F4" s="272" t="s">
        <v>150</v>
      </c>
      <c r="G4" s="40">
        <v>400</v>
      </c>
      <c r="H4" s="272" t="s">
        <v>150</v>
      </c>
      <c r="I4" s="40" t="s">
        <v>741</v>
      </c>
      <c r="J4" s="37" t="s">
        <v>742</v>
      </c>
    </row>
    <row r="5" spans="1:12" ht="14.25" customHeight="1" x14ac:dyDescent="0.3">
      <c r="A5" s="40">
        <v>3</v>
      </c>
      <c r="B5" s="183" t="s">
        <v>481</v>
      </c>
      <c r="C5" s="183" t="s">
        <v>486</v>
      </c>
      <c r="D5" s="183" t="s">
        <v>236</v>
      </c>
      <c r="E5" s="183">
        <v>300</v>
      </c>
      <c r="F5" s="272" t="s">
        <v>150</v>
      </c>
      <c r="G5" s="40">
        <v>400</v>
      </c>
      <c r="H5" s="272" t="s">
        <v>150</v>
      </c>
      <c r="I5" s="40" t="s">
        <v>741</v>
      </c>
      <c r="J5" s="37" t="s">
        <v>742</v>
      </c>
    </row>
    <row r="6" spans="1:12" ht="14.25" customHeight="1" x14ac:dyDescent="0.3">
      <c r="A6" s="40">
        <v>4</v>
      </c>
      <c r="B6" s="183" t="s">
        <v>481</v>
      </c>
      <c r="C6" s="183" t="s">
        <v>490</v>
      </c>
      <c r="D6" s="183" t="s">
        <v>236</v>
      </c>
      <c r="E6" s="183">
        <v>300</v>
      </c>
      <c r="F6" s="272" t="s">
        <v>153</v>
      </c>
      <c r="G6" s="40">
        <v>400</v>
      </c>
      <c r="H6" s="272" t="s">
        <v>150</v>
      </c>
      <c r="I6" s="40" t="s">
        <v>741</v>
      </c>
      <c r="J6" s="37" t="s">
        <v>742</v>
      </c>
    </row>
    <row r="7" spans="1:12" ht="14.25" customHeight="1" x14ac:dyDescent="0.3">
      <c r="A7" s="40">
        <v>5</v>
      </c>
      <c r="B7" s="183" t="s">
        <v>481</v>
      </c>
      <c r="C7" s="183" t="s">
        <v>431</v>
      </c>
      <c r="D7" s="183" t="s">
        <v>236</v>
      </c>
      <c r="E7" s="183">
        <v>300</v>
      </c>
      <c r="F7" s="272" t="s">
        <v>150</v>
      </c>
      <c r="G7" s="40">
        <v>400</v>
      </c>
      <c r="H7" s="272" t="s">
        <v>150</v>
      </c>
      <c r="I7" s="40" t="s">
        <v>741</v>
      </c>
      <c r="J7" s="37" t="s">
        <v>742</v>
      </c>
    </row>
    <row r="8" spans="1:12" ht="14.25" customHeight="1" x14ac:dyDescent="0.3">
      <c r="A8" s="40">
        <v>6</v>
      </c>
      <c r="B8" s="183" t="s">
        <v>481</v>
      </c>
      <c r="C8" s="183" t="s">
        <v>160</v>
      </c>
      <c r="D8" s="183" t="s">
        <v>236</v>
      </c>
      <c r="E8" s="183">
        <v>300</v>
      </c>
      <c r="F8" s="272" t="s">
        <v>150</v>
      </c>
      <c r="G8" s="40">
        <v>400</v>
      </c>
      <c r="H8" s="272" t="s">
        <v>150</v>
      </c>
      <c r="I8" s="40" t="s">
        <v>741</v>
      </c>
      <c r="J8" s="37" t="s">
        <v>742</v>
      </c>
    </row>
    <row r="9" spans="1:12" ht="14.25" customHeight="1" x14ac:dyDescent="0.3">
      <c r="A9" s="40">
        <v>7</v>
      </c>
      <c r="B9" s="183" t="s">
        <v>481</v>
      </c>
      <c r="C9" s="183" t="s">
        <v>495</v>
      </c>
      <c r="D9" s="183" t="s">
        <v>236</v>
      </c>
      <c r="E9" s="183">
        <v>300</v>
      </c>
      <c r="F9" s="272" t="s">
        <v>150</v>
      </c>
      <c r="G9" s="40">
        <v>400</v>
      </c>
      <c r="H9" s="272" t="s">
        <v>150</v>
      </c>
      <c r="I9" s="40" t="s">
        <v>741</v>
      </c>
      <c r="J9" s="37" t="s">
        <v>742</v>
      </c>
    </row>
    <row r="10" spans="1:12" ht="14.25" customHeight="1" x14ac:dyDescent="0.3">
      <c r="A10" s="40">
        <v>8</v>
      </c>
      <c r="B10" s="183" t="s">
        <v>481</v>
      </c>
      <c r="C10" s="183" t="s">
        <v>496</v>
      </c>
      <c r="D10" s="183" t="s">
        <v>236</v>
      </c>
      <c r="E10" s="183">
        <v>300</v>
      </c>
      <c r="F10" s="272" t="s">
        <v>150</v>
      </c>
      <c r="G10" s="40">
        <v>400</v>
      </c>
      <c r="H10" s="272" t="s">
        <v>150</v>
      </c>
      <c r="I10" s="40" t="s">
        <v>741</v>
      </c>
      <c r="J10" s="37" t="s">
        <v>742</v>
      </c>
    </row>
    <row r="11" spans="1:12" ht="14.25" customHeight="1" x14ac:dyDescent="0.3">
      <c r="A11" s="40">
        <v>9</v>
      </c>
      <c r="B11" s="183" t="s">
        <v>497</v>
      </c>
      <c r="C11" s="183" t="s">
        <v>482</v>
      </c>
      <c r="D11" s="183" t="s">
        <v>236</v>
      </c>
      <c r="E11" s="183">
        <v>300</v>
      </c>
      <c r="F11" s="272" t="s">
        <v>150</v>
      </c>
      <c r="G11" s="40">
        <v>400</v>
      </c>
      <c r="H11" s="272" t="s">
        <v>150</v>
      </c>
      <c r="I11" s="40" t="s">
        <v>741</v>
      </c>
      <c r="J11" s="37" t="s">
        <v>742</v>
      </c>
    </row>
    <row r="12" spans="1:12" ht="14.25" customHeight="1" x14ac:dyDescent="0.3">
      <c r="A12" s="40">
        <v>10</v>
      </c>
      <c r="B12" s="183" t="s">
        <v>497</v>
      </c>
      <c r="C12" s="183" t="s">
        <v>154</v>
      </c>
      <c r="D12" s="183" t="s">
        <v>236</v>
      </c>
      <c r="E12" s="183">
        <v>300</v>
      </c>
      <c r="F12" s="272" t="s">
        <v>150</v>
      </c>
      <c r="G12" s="40">
        <v>400</v>
      </c>
      <c r="H12" s="272" t="s">
        <v>150</v>
      </c>
      <c r="I12" s="40" t="s">
        <v>741</v>
      </c>
      <c r="J12" s="37" t="s">
        <v>742</v>
      </c>
    </row>
    <row r="13" spans="1:12" ht="14.25" customHeight="1" x14ac:dyDescent="0.3">
      <c r="A13" s="40">
        <v>11</v>
      </c>
      <c r="B13" s="183" t="s">
        <v>497</v>
      </c>
      <c r="C13" s="183" t="s">
        <v>486</v>
      </c>
      <c r="D13" s="183" t="s">
        <v>236</v>
      </c>
      <c r="E13" s="183">
        <v>300</v>
      </c>
      <c r="F13" s="272" t="s">
        <v>150</v>
      </c>
      <c r="G13" s="40">
        <v>400</v>
      </c>
      <c r="H13" s="272" t="s">
        <v>150</v>
      </c>
      <c r="I13" s="40" t="s">
        <v>741</v>
      </c>
      <c r="J13" s="37" t="s">
        <v>742</v>
      </c>
    </row>
    <row r="14" spans="1:12" ht="14.25" customHeight="1" x14ac:dyDescent="0.3">
      <c r="A14" s="40">
        <v>12</v>
      </c>
      <c r="B14" s="183" t="s">
        <v>497</v>
      </c>
      <c r="C14" s="183" t="s">
        <v>490</v>
      </c>
      <c r="D14" s="183" t="s">
        <v>236</v>
      </c>
      <c r="E14" s="183">
        <v>300</v>
      </c>
      <c r="F14" s="272" t="s">
        <v>153</v>
      </c>
      <c r="G14" s="40">
        <v>400</v>
      </c>
      <c r="H14" s="272" t="s">
        <v>150</v>
      </c>
      <c r="I14" s="40" t="s">
        <v>741</v>
      </c>
      <c r="J14" s="37" t="s">
        <v>742</v>
      </c>
    </row>
    <row r="15" spans="1:12" ht="14.25" customHeight="1" x14ac:dyDescent="0.3">
      <c r="A15" s="40">
        <v>13</v>
      </c>
      <c r="B15" s="183" t="s">
        <v>497</v>
      </c>
      <c r="C15" s="183" t="s">
        <v>431</v>
      </c>
      <c r="D15" s="183" t="s">
        <v>236</v>
      </c>
      <c r="E15" s="183">
        <v>300</v>
      </c>
      <c r="F15" s="272" t="s">
        <v>150</v>
      </c>
      <c r="G15" s="40">
        <v>400</v>
      </c>
      <c r="H15" s="272" t="s">
        <v>150</v>
      </c>
      <c r="I15" s="40" t="s">
        <v>741</v>
      </c>
      <c r="J15" s="37" t="s">
        <v>742</v>
      </c>
    </row>
    <row r="16" spans="1:12" ht="14.25" customHeight="1" x14ac:dyDescent="0.3">
      <c r="A16" s="40">
        <v>14</v>
      </c>
      <c r="B16" s="183" t="s">
        <v>497</v>
      </c>
      <c r="C16" s="183" t="s">
        <v>160</v>
      </c>
      <c r="D16" s="183" t="s">
        <v>236</v>
      </c>
      <c r="E16" s="183">
        <v>300</v>
      </c>
      <c r="F16" s="272" t="s">
        <v>150</v>
      </c>
      <c r="G16" s="40">
        <v>400</v>
      </c>
      <c r="H16" s="272" t="s">
        <v>150</v>
      </c>
      <c r="I16" s="40" t="s">
        <v>741</v>
      </c>
      <c r="J16" s="37" t="s">
        <v>742</v>
      </c>
    </row>
    <row r="17" spans="1:10" ht="14.25" customHeight="1" x14ac:dyDescent="0.3">
      <c r="A17" s="40">
        <v>15</v>
      </c>
      <c r="B17" s="183" t="s">
        <v>497</v>
      </c>
      <c r="C17" s="183" t="s">
        <v>495</v>
      </c>
      <c r="D17" s="183" t="s">
        <v>236</v>
      </c>
      <c r="E17" s="183">
        <v>300</v>
      </c>
      <c r="F17" s="272" t="s">
        <v>150</v>
      </c>
      <c r="G17" s="40">
        <v>400</v>
      </c>
      <c r="H17" s="272" t="s">
        <v>150</v>
      </c>
      <c r="I17" s="40" t="s">
        <v>741</v>
      </c>
      <c r="J17" s="37" t="s">
        <v>742</v>
      </c>
    </row>
    <row r="18" spans="1:10" ht="14.25" customHeight="1" x14ac:dyDescent="0.3">
      <c r="A18" s="40">
        <v>16</v>
      </c>
      <c r="B18" s="183" t="s">
        <v>497</v>
      </c>
      <c r="C18" s="183" t="s">
        <v>496</v>
      </c>
      <c r="D18" s="183" t="s">
        <v>236</v>
      </c>
      <c r="E18" s="183">
        <v>300</v>
      </c>
      <c r="F18" s="272" t="s">
        <v>150</v>
      </c>
      <c r="G18" s="40">
        <v>400</v>
      </c>
      <c r="H18" s="272" t="s">
        <v>150</v>
      </c>
      <c r="I18" s="40" t="s">
        <v>741</v>
      </c>
      <c r="J18" s="37" t="s">
        <v>742</v>
      </c>
    </row>
    <row r="19" spans="1:10" ht="14.25" customHeight="1" x14ac:dyDescent="0.3">
      <c r="A19" s="40">
        <v>17</v>
      </c>
      <c r="B19" s="183" t="s">
        <v>138</v>
      </c>
      <c r="C19" s="183" t="s">
        <v>482</v>
      </c>
      <c r="D19" s="183" t="s">
        <v>236</v>
      </c>
      <c r="E19" s="183">
        <v>0</v>
      </c>
      <c r="F19" s="272" t="s">
        <v>151</v>
      </c>
      <c r="G19" s="40">
        <v>400</v>
      </c>
      <c r="H19" s="272" t="s">
        <v>150</v>
      </c>
      <c r="I19" s="40" t="s">
        <v>741</v>
      </c>
      <c r="J19" s="37" t="s">
        <v>742</v>
      </c>
    </row>
    <row r="20" spans="1:10" ht="14.25" customHeight="1" x14ac:dyDescent="0.3">
      <c r="A20" s="40">
        <v>18</v>
      </c>
      <c r="B20" s="183" t="s">
        <v>138</v>
      </c>
      <c r="C20" s="183" t="s">
        <v>154</v>
      </c>
      <c r="D20" s="183" t="s">
        <v>236</v>
      </c>
      <c r="E20" s="183">
        <v>3000</v>
      </c>
      <c r="F20" s="272" t="s">
        <v>150</v>
      </c>
      <c r="G20" s="40">
        <v>400</v>
      </c>
      <c r="H20" s="272" t="s">
        <v>150</v>
      </c>
      <c r="I20" s="40" t="s">
        <v>741</v>
      </c>
      <c r="J20" s="37" t="s">
        <v>742</v>
      </c>
    </row>
    <row r="21" spans="1:10" ht="14.25" customHeight="1" x14ac:dyDescent="0.3">
      <c r="A21" s="40">
        <v>19</v>
      </c>
      <c r="B21" s="183" t="s">
        <v>138</v>
      </c>
      <c r="C21" s="183" t="s">
        <v>486</v>
      </c>
      <c r="D21" s="183" t="s">
        <v>236</v>
      </c>
      <c r="E21" s="183">
        <v>2000</v>
      </c>
      <c r="F21" s="272" t="s">
        <v>150</v>
      </c>
      <c r="G21" s="40">
        <v>400</v>
      </c>
      <c r="H21" s="272" t="s">
        <v>150</v>
      </c>
      <c r="I21" s="40" t="s">
        <v>741</v>
      </c>
      <c r="J21" s="37" t="s">
        <v>742</v>
      </c>
    </row>
    <row r="22" spans="1:10" ht="14.25" customHeight="1" x14ac:dyDescent="0.3">
      <c r="A22" s="40">
        <v>20</v>
      </c>
      <c r="B22" s="183" t="s">
        <v>138</v>
      </c>
      <c r="C22" s="183" t="s">
        <v>490</v>
      </c>
      <c r="D22" s="183" t="s">
        <v>236</v>
      </c>
      <c r="E22" s="183">
        <v>2000</v>
      </c>
      <c r="F22" s="272" t="s">
        <v>153</v>
      </c>
      <c r="G22" s="40">
        <v>400</v>
      </c>
      <c r="H22" s="272" t="s">
        <v>150</v>
      </c>
      <c r="I22" s="40" t="s">
        <v>741</v>
      </c>
      <c r="J22" s="37" t="s">
        <v>742</v>
      </c>
    </row>
    <row r="23" spans="1:10" ht="14.25" customHeight="1" x14ac:dyDescent="0.3">
      <c r="A23" s="40">
        <v>21</v>
      </c>
      <c r="B23" s="183" t="s">
        <v>138</v>
      </c>
      <c r="C23" s="183" t="s">
        <v>431</v>
      </c>
      <c r="D23" s="183" t="s">
        <v>236</v>
      </c>
      <c r="E23" s="183">
        <v>2000</v>
      </c>
      <c r="F23" s="272" t="s">
        <v>150</v>
      </c>
      <c r="G23" s="40">
        <v>400</v>
      </c>
      <c r="H23" s="272" t="s">
        <v>150</v>
      </c>
      <c r="I23" s="40" t="s">
        <v>741</v>
      </c>
      <c r="J23" s="37" t="s">
        <v>742</v>
      </c>
    </row>
    <row r="24" spans="1:10" ht="14.25" customHeight="1" x14ac:dyDescent="0.3">
      <c r="A24" s="40">
        <v>22</v>
      </c>
      <c r="B24" s="183" t="s">
        <v>138</v>
      </c>
      <c r="C24" s="183" t="s">
        <v>160</v>
      </c>
      <c r="D24" s="183" t="s">
        <v>236</v>
      </c>
      <c r="E24" s="183">
        <v>1000</v>
      </c>
      <c r="F24" s="272" t="s">
        <v>150</v>
      </c>
      <c r="G24" s="40">
        <v>400</v>
      </c>
      <c r="H24" s="272" t="s">
        <v>150</v>
      </c>
      <c r="I24" s="40" t="s">
        <v>741</v>
      </c>
      <c r="J24" s="37" t="s">
        <v>742</v>
      </c>
    </row>
    <row r="25" spans="1:10" ht="14.25" customHeight="1" x14ac:dyDescent="0.3">
      <c r="A25" s="40">
        <v>23</v>
      </c>
      <c r="B25" s="183" t="s">
        <v>138</v>
      </c>
      <c r="C25" s="183" t="s">
        <v>495</v>
      </c>
      <c r="D25" s="183" t="s">
        <v>236</v>
      </c>
      <c r="E25" s="183">
        <v>1000</v>
      </c>
      <c r="F25" s="272" t="s">
        <v>150</v>
      </c>
      <c r="G25" s="40">
        <v>400</v>
      </c>
      <c r="H25" s="272" t="s">
        <v>150</v>
      </c>
      <c r="I25" s="40" t="s">
        <v>741</v>
      </c>
      <c r="J25" s="37" t="s">
        <v>742</v>
      </c>
    </row>
    <row r="26" spans="1:10" ht="14.25" customHeight="1" x14ac:dyDescent="0.3">
      <c r="A26" s="40">
        <v>24</v>
      </c>
      <c r="B26" s="183" t="s">
        <v>138</v>
      </c>
      <c r="C26" s="183" t="s">
        <v>496</v>
      </c>
      <c r="D26" s="183" t="s">
        <v>236</v>
      </c>
      <c r="E26" s="183">
        <v>1000</v>
      </c>
      <c r="F26" s="272" t="s">
        <v>150</v>
      </c>
      <c r="G26" s="40">
        <v>400</v>
      </c>
      <c r="H26" s="272" t="s">
        <v>150</v>
      </c>
      <c r="I26" s="40" t="s">
        <v>741</v>
      </c>
      <c r="J26" s="37" t="s">
        <v>742</v>
      </c>
    </row>
    <row r="27" spans="1:10" ht="14.25" customHeight="1" x14ac:dyDescent="0.3">
      <c r="A27" s="40">
        <v>25</v>
      </c>
      <c r="B27" s="183" t="s">
        <v>155</v>
      </c>
      <c r="C27" s="183" t="s">
        <v>482</v>
      </c>
      <c r="D27" s="183" t="s">
        <v>236</v>
      </c>
      <c r="E27" s="183">
        <v>0</v>
      </c>
      <c r="F27" s="272" t="s">
        <v>151</v>
      </c>
      <c r="G27" s="40">
        <v>400</v>
      </c>
      <c r="H27" s="272" t="s">
        <v>150</v>
      </c>
      <c r="I27" s="40" t="s">
        <v>741</v>
      </c>
      <c r="J27" s="37" t="s">
        <v>742</v>
      </c>
    </row>
    <row r="28" spans="1:10" ht="14.25" customHeight="1" x14ac:dyDescent="0.3">
      <c r="A28" s="40">
        <v>26</v>
      </c>
      <c r="B28" s="183" t="s">
        <v>155</v>
      </c>
      <c r="C28" s="183" t="s">
        <v>154</v>
      </c>
      <c r="D28" s="183" t="s">
        <v>236</v>
      </c>
      <c r="E28" s="183">
        <v>4000</v>
      </c>
      <c r="F28" s="272" t="s">
        <v>150</v>
      </c>
      <c r="G28" s="40">
        <v>400</v>
      </c>
      <c r="H28" s="272" t="s">
        <v>150</v>
      </c>
      <c r="I28" s="40" t="s">
        <v>741</v>
      </c>
      <c r="J28" s="37" t="s">
        <v>742</v>
      </c>
    </row>
    <row r="29" spans="1:10" ht="14.25" customHeight="1" x14ac:dyDescent="0.3">
      <c r="A29" s="40">
        <v>27</v>
      </c>
      <c r="B29" s="183" t="s">
        <v>155</v>
      </c>
      <c r="C29" s="183" t="s">
        <v>486</v>
      </c>
      <c r="D29" s="183" t="s">
        <v>236</v>
      </c>
      <c r="E29" s="183">
        <v>3000</v>
      </c>
      <c r="F29" s="272" t="s">
        <v>150</v>
      </c>
      <c r="G29" s="40">
        <v>400</v>
      </c>
      <c r="H29" s="272" t="s">
        <v>150</v>
      </c>
      <c r="I29" s="40" t="s">
        <v>741</v>
      </c>
      <c r="J29" s="37" t="s">
        <v>742</v>
      </c>
    </row>
    <row r="30" spans="1:10" ht="14.25" customHeight="1" x14ac:dyDescent="0.3">
      <c r="A30" s="40">
        <v>28</v>
      </c>
      <c r="B30" s="183" t="s">
        <v>155</v>
      </c>
      <c r="C30" s="183" t="s">
        <v>490</v>
      </c>
      <c r="D30" s="183" t="s">
        <v>236</v>
      </c>
      <c r="E30" s="183">
        <v>3000</v>
      </c>
      <c r="F30" s="272" t="s">
        <v>150</v>
      </c>
      <c r="G30" s="40">
        <v>400</v>
      </c>
      <c r="H30" s="272" t="s">
        <v>150</v>
      </c>
      <c r="I30" s="40" t="s">
        <v>741</v>
      </c>
      <c r="J30" s="37" t="s">
        <v>742</v>
      </c>
    </row>
    <row r="31" spans="1:10" ht="14.25" customHeight="1" x14ac:dyDescent="0.3">
      <c r="A31" s="40">
        <v>29</v>
      </c>
      <c r="B31" s="183" t="s">
        <v>155</v>
      </c>
      <c r="C31" s="183" t="s">
        <v>431</v>
      </c>
      <c r="D31" s="183" t="s">
        <v>236</v>
      </c>
      <c r="E31" s="183">
        <v>3000</v>
      </c>
      <c r="F31" s="272" t="s">
        <v>150</v>
      </c>
      <c r="G31" s="40">
        <v>400</v>
      </c>
      <c r="H31" s="272" t="s">
        <v>150</v>
      </c>
      <c r="I31" s="40" t="s">
        <v>741</v>
      </c>
      <c r="J31" s="37" t="s">
        <v>742</v>
      </c>
    </row>
    <row r="32" spans="1:10" ht="14.25" customHeight="1" x14ac:dyDescent="0.3">
      <c r="A32" s="40">
        <v>30</v>
      </c>
      <c r="B32" s="183" t="s">
        <v>155</v>
      </c>
      <c r="C32" s="183" t="s">
        <v>160</v>
      </c>
      <c r="D32" s="183" t="s">
        <v>236</v>
      </c>
      <c r="E32" s="183">
        <v>2000</v>
      </c>
      <c r="F32" s="272" t="s">
        <v>150</v>
      </c>
      <c r="G32" s="40">
        <v>400</v>
      </c>
      <c r="H32" s="272" t="s">
        <v>150</v>
      </c>
      <c r="I32" s="40" t="s">
        <v>741</v>
      </c>
      <c r="J32" s="37" t="s">
        <v>742</v>
      </c>
    </row>
    <row r="33" spans="1:10" ht="14.25" customHeight="1" x14ac:dyDescent="0.3">
      <c r="A33" s="40">
        <v>31</v>
      </c>
      <c r="B33" s="183" t="s">
        <v>155</v>
      </c>
      <c r="C33" s="183" t="s">
        <v>495</v>
      </c>
      <c r="D33" s="183" t="s">
        <v>236</v>
      </c>
      <c r="E33" s="183">
        <v>2000</v>
      </c>
      <c r="F33" s="272" t="s">
        <v>150</v>
      </c>
      <c r="G33" s="40">
        <v>400</v>
      </c>
      <c r="H33" s="272" t="s">
        <v>150</v>
      </c>
      <c r="I33" s="40" t="s">
        <v>741</v>
      </c>
      <c r="J33" s="37" t="s">
        <v>742</v>
      </c>
    </row>
    <row r="34" spans="1:10" ht="14.25" customHeight="1" x14ac:dyDescent="0.3">
      <c r="A34" s="40">
        <v>32</v>
      </c>
      <c r="B34" s="183" t="s">
        <v>155</v>
      </c>
      <c r="C34" s="183" t="s">
        <v>496</v>
      </c>
      <c r="D34" s="183" t="s">
        <v>236</v>
      </c>
      <c r="E34" s="183">
        <v>2000</v>
      </c>
      <c r="F34" s="272" t="s">
        <v>150</v>
      </c>
      <c r="G34" s="40">
        <v>400</v>
      </c>
      <c r="H34" s="272" t="s">
        <v>150</v>
      </c>
      <c r="I34" s="40" t="s">
        <v>741</v>
      </c>
      <c r="J34" s="37" t="s">
        <v>742</v>
      </c>
    </row>
    <row r="35" spans="1:10" ht="14.25" customHeight="1" x14ac:dyDescent="0.3">
      <c r="A35" s="40">
        <v>33</v>
      </c>
      <c r="B35" s="183" t="s">
        <v>481</v>
      </c>
      <c r="C35" s="183" t="s">
        <v>482</v>
      </c>
      <c r="D35" s="183" t="s">
        <v>140</v>
      </c>
      <c r="E35" s="183">
        <v>150</v>
      </c>
      <c r="F35" s="272" t="s">
        <v>150</v>
      </c>
      <c r="G35" s="178">
        <v>400</v>
      </c>
      <c r="H35" s="273" t="s">
        <v>150</v>
      </c>
      <c r="I35" s="178" t="s">
        <v>741</v>
      </c>
      <c r="J35" s="180" t="s">
        <v>742</v>
      </c>
    </row>
    <row r="36" spans="1:10" ht="14.25" customHeight="1" x14ac:dyDescent="0.3">
      <c r="A36" s="40">
        <v>34</v>
      </c>
      <c r="B36" s="183" t="s">
        <v>481</v>
      </c>
      <c r="C36" s="183" t="s">
        <v>154</v>
      </c>
      <c r="D36" s="183" t="s">
        <v>140</v>
      </c>
      <c r="E36" s="183">
        <v>150</v>
      </c>
      <c r="F36" s="272" t="s">
        <v>150</v>
      </c>
      <c r="G36" s="40">
        <v>400</v>
      </c>
      <c r="H36" s="272" t="s">
        <v>150</v>
      </c>
      <c r="I36" s="40" t="s">
        <v>741</v>
      </c>
      <c r="J36" s="37" t="s">
        <v>742</v>
      </c>
    </row>
    <row r="37" spans="1:10" ht="14.25" customHeight="1" x14ac:dyDescent="0.3">
      <c r="A37" s="40">
        <v>35</v>
      </c>
      <c r="B37" s="183" t="s">
        <v>481</v>
      </c>
      <c r="C37" s="183" t="s">
        <v>486</v>
      </c>
      <c r="D37" s="183" t="s">
        <v>140</v>
      </c>
      <c r="E37" s="183">
        <v>150</v>
      </c>
      <c r="F37" s="272" t="s">
        <v>150</v>
      </c>
      <c r="G37" s="40">
        <v>400</v>
      </c>
      <c r="H37" s="272" t="s">
        <v>150</v>
      </c>
      <c r="I37" s="40" t="s">
        <v>741</v>
      </c>
      <c r="J37" s="37" t="s">
        <v>742</v>
      </c>
    </row>
    <row r="38" spans="1:10" ht="14.25" customHeight="1" x14ac:dyDescent="0.3">
      <c r="A38" s="40">
        <v>36</v>
      </c>
      <c r="B38" s="183" t="s">
        <v>481</v>
      </c>
      <c r="C38" s="183" t="s">
        <v>490</v>
      </c>
      <c r="D38" s="183" t="s">
        <v>140</v>
      </c>
      <c r="E38" s="183">
        <v>150</v>
      </c>
      <c r="F38" s="272" t="s">
        <v>153</v>
      </c>
      <c r="G38" s="40">
        <v>400</v>
      </c>
      <c r="H38" s="272" t="s">
        <v>150</v>
      </c>
      <c r="I38" s="40" t="s">
        <v>741</v>
      </c>
      <c r="J38" s="37" t="s">
        <v>742</v>
      </c>
    </row>
    <row r="39" spans="1:10" ht="14.25" customHeight="1" x14ac:dyDescent="0.3">
      <c r="A39" s="40">
        <v>37</v>
      </c>
      <c r="B39" s="183" t="s">
        <v>481</v>
      </c>
      <c r="C39" s="183" t="s">
        <v>431</v>
      </c>
      <c r="D39" s="183" t="s">
        <v>140</v>
      </c>
      <c r="E39" s="183">
        <v>150</v>
      </c>
      <c r="F39" s="272" t="s">
        <v>150</v>
      </c>
      <c r="G39" s="40">
        <v>400</v>
      </c>
      <c r="H39" s="272" t="s">
        <v>150</v>
      </c>
      <c r="I39" s="40" t="s">
        <v>741</v>
      </c>
      <c r="J39" s="37" t="s">
        <v>742</v>
      </c>
    </row>
    <row r="40" spans="1:10" ht="14.25" customHeight="1" x14ac:dyDescent="0.3">
      <c r="A40" s="40">
        <v>38</v>
      </c>
      <c r="B40" s="183" t="s">
        <v>481</v>
      </c>
      <c r="C40" s="183" t="s">
        <v>160</v>
      </c>
      <c r="D40" s="183" t="s">
        <v>140</v>
      </c>
      <c r="E40" s="183">
        <v>150</v>
      </c>
      <c r="F40" s="272" t="s">
        <v>150</v>
      </c>
      <c r="G40" s="40">
        <v>400</v>
      </c>
      <c r="H40" s="272" t="s">
        <v>150</v>
      </c>
      <c r="I40" s="40" t="s">
        <v>741</v>
      </c>
      <c r="J40" s="37" t="s">
        <v>742</v>
      </c>
    </row>
    <row r="41" spans="1:10" ht="14.25" customHeight="1" x14ac:dyDescent="0.3">
      <c r="A41" s="40">
        <v>39</v>
      </c>
      <c r="B41" s="183" t="s">
        <v>481</v>
      </c>
      <c r="C41" s="183" t="s">
        <v>495</v>
      </c>
      <c r="D41" s="183" t="s">
        <v>140</v>
      </c>
      <c r="E41" s="183">
        <v>150</v>
      </c>
      <c r="F41" s="272" t="s">
        <v>150</v>
      </c>
      <c r="G41" s="40">
        <v>400</v>
      </c>
      <c r="H41" s="272" t="s">
        <v>150</v>
      </c>
      <c r="I41" s="40" t="s">
        <v>741</v>
      </c>
      <c r="J41" s="37" t="s">
        <v>742</v>
      </c>
    </row>
    <row r="42" spans="1:10" ht="14.25" customHeight="1" x14ac:dyDescent="0.3">
      <c r="A42" s="40">
        <v>40</v>
      </c>
      <c r="B42" s="183" t="s">
        <v>481</v>
      </c>
      <c r="C42" s="183" t="s">
        <v>496</v>
      </c>
      <c r="D42" s="183" t="s">
        <v>140</v>
      </c>
      <c r="E42" s="183">
        <v>150</v>
      </c>
      <c r="F42" s="272" t="s">
        <v>150</v>
      </c>
      <c r="G42" s="40">
        <v>400</v>
      </c>
      <c r="H42" s="272" t="s">
        <v>150</v>
      </c>
      <c r="I42" s="40" t="s">
        <v>741</v>
      </c>
      <c r="J42" s="37" t="s">
        <v>742</v>
      </c>
    </row>
    <row r="43" spans="1:10" ht="14.25" customHeight="1" x14ac:dyDescent="0.3">
      <c r="A43" s="40">
        <v>41</v>
      </c>
      <c r="B43" s="183" t="s">
        <v>497</v>
      </c>
      <c r="C43" s="183" t="s">
        <v>482</v>
      </c>
      <c r="D43" s="183" t="s">
        <v>140</v>
      </c>
      <c r="E43" s="183">
        <v>150</v>
      </c>
      <c r="F43" s="272" t="s">
        <v>150</v>
      </c>
      <c r="G43" s="40">
        <v>400</v>
      </c>
      <c r="H43" s="272" t="s">
        <v>150</v>
      </c>
      <c r="I43" s="40" t="s">
        <v>741</v>
      </c>
      <c r="J43" s="37" t="s">
        <v>742</v>
      </c>
    </row>
    <row r="44" spans="1:10" ht="14.25" customHeight="1" x14ac:dyDescent="0.3">
      <c r="A44" s="40">
        <v>42</v>
      </c>
      <c r="B44" s="183" t="s">
        <v>497</v>
      </c>
      <c r="C44" s="183" t="s">
        <v>154</v>
      </c>
      <c r="D44" s="183" t="s">
        <v>140</v>
      </c>
      <c r="E44" s="183">
        <v>150</v>
      </c>
      <c r="F44" s="272" t="s">
        <v>150</v>
      </c>
      <c r="G44" s="40">
        <v>400</v>
      </c>
      <c r="H44" s="272" t="s">
        <v>150</v>
      </c>
      <c r="I44" s="40" t="s">
        <v>741</v>
      </c>
      <c r="J44" s="37" t="s">
        <v>742</v>
      </c>
    </row>
    <row r="45" spans="1:10" ht="14.25" customHeight="1" x14ac:dyDescent="0.3">
      <c r="A45" s="40">
        <v>43</v>
      </c>
      <c r="B45" s="183" t="s">
        <v>497</v>
      </c>
      <c r="C45" s="183" t="s">
        <v>486</v>
      </c>
      <c r="D45" s="183" t="s">
        <v>140</v>
      </c>
      <c r="E45" s="183">
        <v>150</v>
      </c>
      <c r="F45" s="272" t="s">
        <v>150</v>
      </c>
      <c r="G45" s="40">
        <v>400</v>
      </c>
      <c r="H45" s="272" t="s">
        <v>150</v>
      </c>
      <c r="I45" s="40" t="s">
        <v>741</v>
      </c>
      <c r="J45" s="37" t="s">
        <v>742</v>
      </c>
    </row>
    <row r="46" spans="1:10" ht="14.25" customHeight="1" x14ac:dyDescent="0.3">
      <c r="A46" s="40">
        <v>44</v>
      </c>
      <c r="B46" s="183" t="s">
        <v>497</v>
      </c>
      <c r="C46" s="183" t="s">
        <v>490</v>
      </c>
      <c r="D46" s="183" t="s">
        <v>140</v>
      </c>
      <c r="E46" s="183">
        <v>150</v>
      </c>
      <c r="F46" s="272" t="s">
        <v>153</v>
      </c>
      <c r="G46" s="40">
        <v>400</v>
      </c>
      <c r="H46" s="272" t="s">
        <v>150</v>
      </c>
      <c r="I46" s="40" t="s">
        <v>741</v>
      </c>
      <c r="J46" s="37" t="s">
        <v>742</v>
      </c>
    </row>
    <row r="47" spans="1:10" ht="14.25" customHeight="1" x14ac:dyDescent="0.3">
      <c r="A47" s="40">
        <v>45</v>
      </c>
      <c r="B47" s="183" t="s">
        <v>497</v>
      </c>
      <c r="C47" s="183" t="s">
        <v>431</v>
      </c>
      <c r="D47" s="183" t="s">
        <v>140</v>
      </c>
      <c r="E47" s="183">
        <v>150</v>
      </c>
      <c r="F47" s="272" t="s">
        <v>150</v>
      </c>
      <c r="G47" s="40">
        <v>400</v>
      </c>
      <c r="H47" s="272" t="s">
        <v>150</v>
      </c>
      <c r="I47" s="40" t="s">
        <v>741</v>
      </c>
      <c r="J47" s="37" t="s">
        <v>742</v>
      </c>
    </row>
    <row r="48" spans="1:10" ht="14.25" customHeight="1" x14ac:dyDescent="0.3">
      <c r="A48" s="40">
        <v>46</v>
      </c>
      <c r="B48" s="183" t="s">
        <v>497</v>
      </c>
      <c r="C48" s="183" t="s">
        <v>160</v>
      </c>
      <c r="D48" s="183" t="s">
        <v>140</v>
      </c>
      <c r="E48" s="183">
        <v>150</v>
      </c>
      <c r="F48" s="272" t="s">
        <v>150</v>
      </c>
      <c r="G48" s="40">
        <v>400</v>
      </c>
      <c r="H48" s="272" t="s">
        <v>150</v>
      </c>
      <c r="I48" s="40" t="s">
        <v>741</v>
      </c>
      <c r="J48" s="37" t="s">
        <v>742</v>
      </c>
    </row>
    <row r="49" spans="1:10" ht="14.25" customHeight="1" x14ac:dyDescent="0.3">
      <c r="A49" s="40">
        <v>47</v>
      </c>
      <c r="B49" s="183" t="s">
        <v>497</v>
      </c>
      <c r="C49" s="183" t="s">
        <v>495</v>
      </c>
      <c r="D49" s="183" t="s">
        <v>140</v>
      </c>
      <c r="E49" s="183">
        <v>150</v>
      </c>
      <c r="F49" s="272" t="s">
        <v>150</v>
      </c>
      <c r="G49" s="40">
        <v>400</v>
      </c>
      <c r="H49" s="272" t="s">
        <v>150</v>
      </c>
      <c r="I49" s="40" t="s">
        <v>741</v>
      </c>
      <c r="J49" s="37" t="s">
        <v>742</v>
      </c>
    </row>
    <row r="50" spans="1:10" ht="14.25" customHeight="1" x14ac:dyDescent="0.3">
      <c r="A50" s="40">
        <v>48</v>
      </c>
      <c r="B50" s="183" t="s">
        <v>497</v>
      </c>
      <c r="C50" s="183" t="s">
        <v>496</v>
      </c>
      <c r="D50" s="183" t="s">
        <v>140</v>
      </c>
      <c r="E50" s="183">
        <v>150</v>
      </c>
      <c r="F50" s="272" t="s">
        <v>150</v>
      </c>
      <c r="G50" s="40">
        <v>400</v>
      </c>
      <c r="H50" s="272" t="s">
        <v>150</v>
      </c>
      <c r="I50" s="40" t="s">
        <v>741</v>
      </c>
      <c r="J50" s="37" t="s">
        <v>742</v>
      </c>
    </row>
    <row r="51" spans="1:10" ht="14.25" customHeight="1" x14ac:dyDescent="0.3">
      <c r="A51" s="40">
        <v>49</v>
      </c>
      <c r="B51" s="183" t="s">
        <v>138</v>
      </c>
      <c r="C51" s="183" t="s">
        <v>482</v>
      </c>
      <c r="D51" s="183" t="s">
        <v>140</v>
      </c>
      <c r="E51" s="183">
        <v>0</v>
      </c>
      <c r="F51" s="272" t="s">
        <v>151</v>
      </c>
      <c r="G51" s="40">
        <v>400</v>
      </c>
      <c r="H51" s="272" t="s">
        <v>150</v>
      </c>
      <c r="I51" s="40" t="s">
        <v>741</v>
      </c>
      <c r="J51" s="37" t="s">
        <v>742</v>
      </c>
    </row>
    <row r="52" spans="1:10" ht="14.25" customHeight="1" x14ac:dyDescent="0.3">
      <c r="A52" s="40">
        <v>50</v>
      </c>
      <c r="B52" s="183" t="s">
        <v>138</v>
      </c>
      <c r="C52" s="183" t="s">
        <v>154</v>
      </c>
      <c r="D52" s="183" t="s">
        <v>140</v>
      </c>
      <c r="E52" s="183">
        <v>1500</v>
      </c>
      <c r="F52" s="272" t="s">
        <v>150</v>
      </c>
      <c r="G52" s="40">
        <v>400</v>
      </c>
      <c r="H52" s="272" t="s">
        <v>150</v>
      </c>
      <c r="I52" s="40" t="s">
        <v>741</v>
      </c>
      <c r="J52" s="37" t="s">
        <v>742</v>
      </c>
    </row>
    <row r="53" spans="1:10" ht="14.25" customHeight="1" x14ac:dyDescent="0.3">
      <c r="A53" s="40">
        <v>51</v>
      </c>
      <c r="B53" s="183" t="s">
        <v>138</v>
      </c>
      <c r="C53" s="183" t="s">
        <v>486</v>
      </c>
      <c r="D53" s="183" t="s">
        <v>140</v>
      </c>
      <c r="E53" s="183">
        <v>1000</v>
      </c>
      <c r="F53" s="272" t="s">
        <v>150</v>
      </c>
      <c r="G53" s="40">
        <v>400</v>
      </c>
      <c r="H53" s="272" t="s">
        <v>150</v>
      </c>
      <c r="I53" s="40" t="s">
        <v>741</v>
      </c>
      <c r="J53" s="37" t="s">
        <v>742</v>
      </c>
    </row>
    <row r="54" spans="1:10" ht="14.25" customHeight="1" x14ac:dyDescent="0.3">
      <c r="A54" s="40">
        <v>52</v>
      </c>
      <c r="B54" s="183" t="s">
        <v>138</v>
      </c>
      <c r="C54" s="183" t="s">
        <v>490</v>
      </c>
      <c r="D54" s="183" t="s">
        <v>140</v>
      </c>
      <c r="E54" s="183">
        <v>1000</v>
      </c>
      <c r="F54" s="272" t="s">
        <v>153</v>
      </c>
      <c r="G54" s="40">
        <v>400</v>
      </c>
      <c r="H54" s="272" t="s">
        <v>150</v>
      </c>
      <c r="I54" s="40" t="s">
        <v>741</v>
      </c>
      <c r="J54" s="37" t="s">
        <v>742</v>
      </c>
    </row>
    <row r="55" spans="1:10" ht="14.25" customHeight="1" x14ac:dyDescent="0.3">
      <c r="A55" s="40">
        <v>53</v>
      </c>
      <c r="B55" s="183" t="s">
        <v>138</v>
      </c>
      <c r="C55" s="183" t="s">
        <v>431</v>
      </c>
      <c r="D55" s="183" t="s">
        <v>140</v>
      </c>
      <c r="E55" s="183">
        <v>1000</v>
      </c>
      <c r="F55" s="272" t="s">
        <v>150</v>
      </c>
      <c r="G55" s="40">
        <v>400</v>
      </c>
      <c r="H55" s="272" t="s">
        <v>150</v>
      </c>
      <c r="I55" s="40" t="s">
        <v>741</v>
      </c>
      <c r="J55" s="37" t="s">
        <v>742</v>
      </c>
    </row>
    <row r="56" spans="1:10" ht="14.25" customHeight="1" x14ac:dyDescent="0.3">
      <c r="A56" s="40">
        <v>54</v>
      </c>
      <c r="B56" s="183" t="s">
        <v>138</v>
      </c>
      <c r="C56" s="183" t="s">
        <v>160</v>
      </c>
      <c r="D56" s="183" t="s">
        <v>140</v>
      </c>
      <c r="E56" s="183">
        <v>500</v>
      </c>
      <c r="F56" s="272" t="s">
        <v>150</v>
      </c>
      <c r="G56" s="40">
        <v>400</v>
      </c>
      <c r="H56" s="272" t="s">
        <v>150</v>
      </c>
      <c r="I56" s="40" t="s">
        <v>741</v>
      </c>
      <c r="J56" s="37" t="s">
        <v>742</v>
      </c>
    </row>
    <row r="57" spans="1:10" ht="14.25" customHeight="1" x14ac:dyDescent="0.3">
      <c r="A57" s="40">
        <v>55</v>
      </c>
      <c r="B57" s="183" t="s">
        <v>138</v>
      </c>
      <c r="C57" s="183" t="s">
        <v>495</v>
      </c>
      <c r="D57" s="183" t="s">
        <v>140</v>
      </c>
      <c r="E57" s="183">
        <v>500</v>
      </c>
      <c r="F57" s="272" t="s">
        <v>150</v>
      </c>
      <c r="G57" s="40">
        <v>400</v>
      </c>
      <c r="H57" s="272" t="s">
        <v>150</v>
      </c>
      <c r="I57" s="40" t="s">
        <v>741</v>
      </c>
      <c r="J57" s="37" t="s">
        <v>742</v>
      </c>
    </row>
    <row r="58" spans="1:10" ht="14.25" customHeight="1" x14ac:dyDescent="0.3">
      <c r="A58" s="40">
        <v>56</v>
      </c>
      <c r="B58" s="183" t="s">
        <v>138</v>
      </c>
      <c r="C58" s="183" t="s">
        <v>496</v>
      </c>
      <c r="D58" s="183" t="s">
        <v>140</v>
      </c>
      <c r="E58" s="183">
        <v>500</v>
      </c>
      <c r="F58" s="272" t="s">
        <v>150</v>
      </c>
      <c r="G58" s="40">
        <v>400</v>
      </c>
      <c r="H58" s="272" t="s">
        <v>150</v>
      </c>
      <c r="I58" s="40" t="s">
        <v>741</v>
      </c>
      <c r="J58" s="37" t="s">
        <v>742</v>
      </c>
    </row>
    <row r="59" spans="1:10" ht="14.25" customHeight="1" x14ac:dyDescent="0.3">
      <c r="A59" s="40">
        <v>57</v>
      </c>
      <c r="B59" s="183" t="s">
        <v>155</v>
      </c>
      <c r="C59" s="183" t="s">
        <v>482</v>
      </c>
      <c r="D59" s="183" t="s">
        <v>140</v>
      </c>
      <c r="E59" s="183">
        <v>0</v>
      </c>
      <c r="F59" s="272" t="s">
        <v>151</v>
      </c>
      <c r="G59" s="40">
        <v>400</v>
      </c>
      <c r="H59" s="272" t="s">
        <v>150</v>
      </c>
      <c r="I59" s="40" t="s">
        <v>741</v>
      </c>
      <c r="J59" s="37" t="s">
        <v>742</v>
      </c>
    </row>
    <row r="60" spans="1:10" ht="14.25" customHeight="1" x14ac:dyDescent="0.3">
      <c r="A60" s="40">
        <v>58</v>
      </c>
      <c r="B60" s="183" t="s">
        <v>155</v>
      </c>
      <c r="C60" s="183" t="s">
        <v>154</v>
      </c>
      <c r="D60" s="183" t="s">
        <v>140</v>
      </c>
      <c r="E60" s="183">
        <v>3000</v>
      </c>
      <c r="F60" s="272" t="s">
        <v>150</v>
      </c>
      <c r="G60" s="40">
        <v>400</v>
      </c>
      <c r="H60" s="272" t="s">
        <v>150</v>
      </c>
      <c r="I60" s="40" t="s">
        <v>741</v>
      </c>
      <c r="J60" s="37" t="s">
        <v>742</v>
      </c>
    </row>
    <row r="61" spans="1:10" ht="14.25" customHeight="1" x14ac:dyDescent="0.3">
      <c r="A61" s="40">
        <v>59</v>
      </c>
      <c r="B61" s="183" t="s">
        <v>155</v>
      </c>
      <c r="C61" s="183" t="s">
        <v>486</v>
      </c>
      <c r="D61" s="183" t="s">
        <v>140</v>
      </c>
      <c r="E61" s="183">
        <v>1500</v>
      </c>
      <c r="F61" s="272" t="s">
        <v>150</v>
      </c>
      <c r="G61" s="40">
        <v>400</v>
      </c>
      <c r="H61" s="272" t="s">
        <v>150</v>
      </c>
      <c r="I61" s="40" t="s">
        <v>741</v>
      </c>
      <c r="J61" s="37" t="s">
        <v>742</v>
      </c>
    </row>
    <row r="62" spans="1:10" ht="14.25" customHeight="1" x14ac:dyDescent="0.3">
      <c r="A62" s="40">
        <v>60</v>
      </c>
      <c r="B62" s="183" t="s">
        <v>155</v>
      </c>
      <c r="C62" s="183" t="s">
        <v>490</v>
      </c>
      <c r="D62" s="183" t="s">
        <v>140</v>
      </c>
      <c r="E62" s="183">
        <v>1500</v>
      </c>
      <c r="F62" s="272" t="s">
        <v>150</v>
      </c>
      <c r="G62" s="40">
        <v>400</v>
      </c>
      <c r="H62" s="272" t="s">
        <v>150</v>
      </c>
      <c r="I62" s="40" t="s">
        <v>741</v>
      </c>
      <c r="J62" s="37" t="s">
        <v>742</v>
      </c>
    </row>
    <row r="63" spans="1:10" ht="14.25" customHeight="1" x14ac:dyDescent="0.3">
      <c r="A63" s="40">
        <v>61</v>
      </c>
      <c r="B63" s="183" t="s">
        <v>155</v>
      </c>
      <c r="C63" s="183" t="s">
        <v>431</v>
      </c>
      <c r="D63" s="183" t="s">
        <v>140</v>
      </c>
      <c r="E63" s="183">
        <v>1500</v>
      </c>
      <c r="F63" s="272" t="s">
        <v>150</v>
      </c>
      <c r="G63" s="40">
        <v>400</v>
      </c>
      <c r="H63" s="272" t="s">
        <v>150</v>
      </c>
      <c r="I63" s="40" t="s">
        <v>741</v>
      </c>
      <c r="J63" s="37" t="s">
        <v>742</v>
      </c>
    </row>
    <row r="64" spans="1:10" ht="14.25" customHeight="1" x14ac:dyDescent="0.3">
      <c r="A64" s="40">
        <v>62</v>
      </c>
      <c r="B64" s="183" t="s">
        <v>155</v>
      </c>
      <c r="C64" s="183" t="s">
        <v>160</v>
      </c>
      <c r="D64" s="183" t="s">
        <v>140</v>
      </c>
      <c r="E64" s="183">
        <v>800</v>
      </c>
      <c r="F64" s="272" t="s">
        <v>150</v>
      </c>
      <c r="G64" s="40">
        <v>400</v>
      </c>
      <c r="H64" s="272" t="s">
        <v>150</v>
      </c>
      <c r="I64" s="40" t="s">
        <v>741</v>
      </c>
      <c r="J64" s="37" t="s">
        <v>742</v>
      </c>
    </row>
    <row r="65" spans="1:10" ht="14.25" customHeight="1" x14ac:dyDescent="0.3">
      <c r="A65" s="40">
        <v>63</v>
      </c>
      <c r="B65" s="183" t="s">
        <v>155</v>
      </c>
      <c r="C65" s="183" t="s">
        <v>495</v>
      </c>
      <c r="D65" s="183" t="s">
        <v>140</v>
      </c>
      <c r="E65" s="183">
        <v>800</v>
      </c>
      <c r="F65" s="272" t="s">
        <v>150</v>
      </c>
      <c r="G65" s="40">
        <v>400</v>
      </c>
      <c r="H65" s="272" t="s">
        <v>150</v>
      </c>
      <c r="I65" s="40" t="s">
        <v>741</v>
      </c>
      <c r="J65" s="37" t="s">
        <v>742</v>
      </c>
    </row>
    <row r="66" spans="1:10" ht="14.25" customHeight="1" x14ac:dyDescent="0.3">
      <c r="A66" s="40">
        <v>64</v>
      </c>
      <c r="B66" s="191" t="s">
        <v>155</v>
      </c>
      <c r="C66" s="191" t="s">
        <v>496</v>
      </c>
      <c r="D66" s="191" t="s">
        <v>140</v>
      </c>
      <c r="E66" s="191">
        <v>800</v>
      </c>
      <c r="F66" s="274" t="s">
        <v>150</v>
      </c>
      <c r="G66" s="190">
        <v>400</v>
      </c>
      <c r="H66" s="274" t="s">
        <v>150</v>
      </c>
      <c r="I66" s="190" t="s">
        <v>741</v>
      </c>
      <c r="J66" s="211" t="s">
        <v>742</v>
      </c>
    </row>
    <row r="67" spans="1:10" ht="14.25" customHeight="1" x14ac:dyDescent="0.3">
      <c r="A67" s="40">
        <v>65</v>
      </c>
      <c r="B67" s="193" t="s">
        <v>509</v>
      </c>
      <c r="C67" s="193" t="s">
        <v>482</v>
      </c>
      <c r="D67" s="193" t="s">
        <v>236</v>
      </c>
      <c r="E67" s="193" t="s">
        <v>487</v>
      </c>
      <c r="F67" s="193" t="s">
        <v>487</v>
      </c>
      <c r="G67" s="193">
        <v>400</v>
      </c>
      <c r="H67" s="193" t="s">
        <v>150</v>
      </c>
      <c r="I67" s="193" t="s">
        <v>741</v>
      </c>
      <c r="J67" s="33" t="s">
        <v>742</v>
      </c>
    </row>
    <row r="68" spans="1:10" ht="14.25" customHeight="1" x14ac:dyDescent="0.3">
      <c r="A68" s="40">
        <v>66</v>
      </c>
      <c r="B68" s="183" t="s">
        <v>509</v>
      </c>
      <c r="C68" s="183" t="s">
        <v>154</v>
      </c>
      <c r="D68" s="183" t="s">
        <v>236</v>
      </c>
      <c r="E68" s="183" t="s">
        <v>487</v>
      </c>
      <c r="F68" s="183" t="s">
        <v>487</v>
      </c>
      <c r="G68" s="183">
        <v>400</v>
      </c>
      <c r="H68" s="183" t="s">
        <v>150</v>
      </c>
      <c r="I68" s="183" t="s">
        <v>741</v>
      </c>
      <c r="J68" s="37" t="s">
        <v>742</v>
      </c>
    </row>
    <row r="69" spans="1:10" ht="14.25" customHeight="1" x14ac:dyDescent="0.3">
      <c r="A69" s="40">
        <v>67</v>
      </c>
      <c r="B69" s="183" t="s">
        <v>509</v>
      </c>
      <c r="C69" s="183" t="s">
        <v>486</v>
      </c>
      <c r="D69" s="183" t="s">
        <v>236</v>
      </c>
      <c r="E69" s="183" t="s">
        <v>487</v>
      </c>
      <c r="F69" s="183" t="s">
        <v>487</v>
      </c>
      <c r="G69" s="183">
        <v>400</v>
      </c>
      <c r="H69" s="183" t="s">
        <v>150</v>
      </c>
      <c r="I69" s="183" t="s">
        <v>741</v>
      </c>
      <c r="J69" s="37" t="s">
        <v>742</v>
      </c>
    </row>
    <row r="70" spans="1:10" ht="14.25" customHeight="1" x14ac:dyDescent="0.3">
      <c r="A70" s="40">
        <v>68</v>
      </c>
      <c r="B70" s="183" t="s">
        <v>509</v>
      </c>
      <c r="C70" s="183" t="s">
        <v>490</v>
      </c>
      <c r="D70" s="183" t="s">
        <v>236</v>
      </c>
      <c r="E70" s="183" t="s">
        <v>487</v>
      </c>
      <c r="F70" s="183" t="s">
        <v>487</v>
      </c>
      <c r="G70" s="183">
        <v>400</v>
      </c>
      <c r="H70" s="183" t="s">
        <v>150</v>
      </c>
      <c r="I70" s="183" t="s">
        <v>741</v>
      </c>
      <c r="J70" s="37" t="s">
        <v>742</v>
      </c>
    </row>
    <row r="71" spans="1:10" ht="14.25" customHeight="1" x14ac:dyDescent="0.3">
      <c r="A71" s="40">
        <v>69</v>
      </c>
      <c r="B71" s="183" t="s">
        <v>509</v>
      </c>
      <c r="C71" s="183" t="s">
        <v>431</v>
      </c>
      <c r="D71" s="183" t="s">
        <v>236</v>
      </c>
      <c r="E71" s="183" t="s">
        <v>487</v>
      </c>
      <c r="F71" s="183" t="s">
        <v>487</v>
      </c>
      <c r="G71" s="183">
        <v>400</v>
      </c>
      <c r="H71" s="183" t="s">
        <v>150</v>
      </c>
      <c r="I71" s="183" t="s">
        <v>741</v>
      </c>
      <c r="J71" s="37" t="s">
        <v>742</v>
      </c>
    </row>
    <row r="72" spans="1:10" ht="14.25" customHeight="1" x14ac:dyDescent="0.3">
      <c r="A72" s="40">
        <v>70</v>
      </c>
      <c r="B72" s="183" t="s">
        <v>509</v>
      </c>
      <c r="C72" s="183" t="s">
        <v>160</v>
      </c>
      <c r="D72" s="183" t="s">
        <v>236</v>
      </c>
      <c r="E72" s="183" t="s">
        <v>487</v>
      </c>
      <c r="F72" s="183" t="s">
        <v>487</v>
      </c>
      <c r="G72" s="183">
        <v>400</v>
      </c>
      <c r="H72" s="183" t="s">
        <v>150</v>
      </c>
      <c r="I72" s="183" t="s">
        <v>741</v>
      </c>
      <c r="J72" s="37" t="s">
        <v>742</v>
      </c>
    </row>
    <row r="73" spans="1:10" ht="14.25" customHeight="1" x14ac:dyDescent="0.3">
      <c r="A73" s="40">
        <v>71</v>
      </c>
      <c r="B73" s="183" t="s">
        <v>509</v>
      </c>
      <c r="C73" s="183" t="s">
        <v>495</v>
      </c>
      <c r="D73" s="183" t="s">
        <v>236</v>
      </c>
      <c r="E73" s="183" t="s">
        <v>487</v>
      </c>
      <c r="F73" s="183" t="s">
        <v>487</v>
      </c>
      <c r="G73" s="183">
        <v>400</v>
      </c>
      <c r="H73" s="183" t="s">
        <v>150</v>
      </c>
      <c r="I73" s="183" t="s">
        <v>741</v>
      </c>
      <c r="J73" s="37" t="s">
        <v>742</v>
      </c>
    </row>
    <row r="74" spans="1:10" ht="14.25" customHeight="1" x14ac:dyDescent="0.3">
      <c r="A74" s="40">
        <v>72</v>
      </c>
      <c r="B74" s="183" t="s">
        <v>509</v>
      </c>
      <c r="C74" s="183" t="s">
        <v>496</v>
      </c>
      <c r="D74" s="183" t="s">
        <v>236</v>
      </c>
      <c r="E74" s="183" t="s">
        <v>487</v>
      </c>
      <c r="F74" s="183" t="s">
        <v>487</v>
      </c>
      <c r="G74" s="183">
        <v>400</v>
      </c>
      <c r="H74" s="183" t="s">
        <v>150</v>
      </c>
      <c r="I74" s="183" t="s">
        <v>741</v>
      </c>
      <c r="J74" s="37" t="s">
        <v>742</v>
      </c>
    </row>
    <row r="75" spans="1:10" ht="14.25" customHeight="1" x14ac:dyDescent="0.3">
      <c r="A75" s="40">
        <v>73</v>
      </c>
      <c r="B75" s="183" t="s">
        <v>509</v>
      </c>
      <c r="C75" s="183" t="s">
        <v>482</v>
      </c>
      <c r="D75" s="183" t="s">
        <v>140</v>
      </c>
      <c r="E75" s="183" t="s">
        <v>487</v>
      </c>
      <c r="F75" s="183" t="s">
        <v>487</v>
      </c>
      <c r="G75" s="183">
        <v>400</v>
      </c>
      <c r="H75" s="183" t="s">
        <v>150</v>
      </c>
      <c r="I75" s="183" t="s">
        <v>741</v>
      </c>
      <c r="J75" s="37" t="s">
        <v>742</v>
      </c>
    </row>
    <row r="76" spans="1:10" ht="14.25" customHeight="1" x14ac:dyDescent="0.3">
      <c r="A76" s="40">
        <v>74</v>
      </c>
      <c r="B76" s="183" t="s">
        <v>509</v>
      </c>
      <c r="C76" s="183" t="s">
        <v>154</v>
      </c>
      <c r="D76" s="183" t="s">
        <v>140</v>
      </c>
      <c r="E76" s="183" t="s">
        <v>487</v>
      </c>
      <c r="F76" s="183" t="s">
        <v>487</v>
      </c>
      <c r="G76" s="183">
        <v>400</v>
      </c>
      <c r="H76" s="183" t="s">
        <v>150</v>
      </c>
      <c r="I76" s="183" t="s">
        <v>741</v>
      </c>
      <c r="J76" s="37" t="s">
        <v>742</v>
      </c>
    </row>
    <row r="77" spans="1:10" ht="14.25" customHeight="1" x14ac:dyDescent="0.3">
      <c r="A77" s="40">
        <v>75</v>
      </c>
      <c r="B77" s="183" t="s">
        <v>509</v>
      </c>
      <c r="C77" s="183" t="s">
        <v>486</v>
      </c>
      <c r="D77" s="183" t="s">
        <v>140</v>
      </c>
      <c r="E77" s="183" t="s">
        <v>487</v>
      </c>
      <c r="F77" s="183" t="s">
        <v>487</v>
      </c>
      <c r="G77" s="183">
        <v>400</v>
      </c>
      <c r="H77" s="183" t="s">
        <v>150</v>
      </c>
      <c r="I77" s="183" t="s">
        <v>741</v>
      </c>
      <c r="J77" s="37" t="s">
        <v>742</v>
      </c>
    </row>
    <row r="78" spans="1:10" ht="14.25" customHeight="1" x14ac:dyDescent="0.3">
      <c r="A78" s="40">
        <v>76</v>
      </c>
      <c r="B78" s="183" t="s">
        <v>509</v>
      </c>
      <c r="C78" s="183" t="s">
        <v>490</v>
      </c>
      <c r="D78" s="183" t="s">
        <v>140</v>
      </c>
      <c r="E78" s="183" t="s">
        <v>487</v>
      </c>
      <c r="F78" s="183" t="s">
        <v>487</v>
      </c>
      <c r="G78" s="183">
        <v>400</v>
      </c>
      <c r="H78" s="183" t="s">
        <v>150</v>
      </c>
      <c r="I78" s="183" t="s">
        <v>741</v>
      </c>
      <c r="J78" s="37" t="s">
        <v>742</v>
      </c>
    </row>
    <row r="79" spans="1:10" ht="14.25" customHeight="1" x14ac:dyDescent="0.3">
      <c r="A79" s="40">
        <v>77</v>
      </c>
      <c r="B79" s="183" t="s">
        <v>509</v>
      </c>
      <c r="C79" s="183" t="s">
        <v>431</v>
      </c>
      <c r="D79" s="183" t="s">
        <v>140</v>
      </c>
      <c r="E79" s="183" t="s">
        <v>487</v>
      </c>
      <c r="F79" s="183" t="s">
        <v>487</v>
      </c>
      <c r="G79" s="183">
        <v>400</v>
      </c>
      <c r="H79" s="183" t="s">
        <v>150</v>
      </c>
      <c r="I79" s="183" t="s">
        <v>741</v>
      </c>
      <c r="J79" s="37" t="s">
        <v>742</v>
      </c>
    </row>
    <row r="80" spans="1:10" ht="14.25" customHeight="1" x14ac:dyDescent="0.3">
      <c r="A80" s="40">
        <v>78</v>
      </c>
      <c r="B80" s="183" t="s">
        <v>509</v>
      </c>
      <c r="C80" s="183" t="s">
        <v>160</v>
      </c>
      <c r="D80" s="183" t="s">
        <v>140</v>
      </c>
      <c r="E80" s="183" t="s">
        <v>487</v>
      </c>
      <c r="F80" s="183" t="s">
        <v>487</v>
      </c>
      <c r="G80" s="183">
        <v>400</v>
      </c>
      <c r="H80" s="183" t="s">
        <v>150</v>
      </c>
      <c r="I80" s="183" t="s">
        <v>741</v>
      </c>
      <c r="J80" s="37" t="s">
        <v>742</v>
      </c>
    </row>
    <row r="81" spans="1:10" ht="14.25" customHeight="1" x14ac:dyDescent="0.3">
      <c r="A81" s="40">
        <v>79</v>
      </c>
      <c r="B81" s="183" t="s">
        <v>509</v>
      </c>
      <c r="C81" s="183" t="s">
        <v>495</v>
      </c>
      <c r="D81" s="183" t="s">
        <v>140</v>
      </c>
      <c r="E81" s="183" t="s">
        <v>487</v>
      </c>
      <c r="F81" s="183" t="s">
        <v>487</v>
      </c>
      <c r="G81" s="183">
        <v>400</v>
      </c>
      <c r="H81" s="183" t="s">
        <v>150</v>
      </c>
      <c r="I81" s="183" t="s">
        <v>741</v>
      </c>
      <c r="J81" s="37" t="s">
        <v>742</v>
      </c>
    </row>
    <row r="82" spans="1:10" ht="14.25" customHeight="1" x14ac:dyDescent="0.3">
      <c r="A82" s="40">
        <v>80</v>
      </c>
      <c r="B82" s="194" t="s">
        <v>509</v>
      </c>
      <c r="C82" s="194" t="s">
        <v>496</v>
      </c>
      <c r="D82" s="194" t="s">
        <v>140</v>
      </c>
      <c r="E82" s="194" t="s">
        <v>487</v>
      </c>
      <c r="F82" s="194" t="s">
        <v>487</v>
      </c>
      <c r="G82" s="194">
        <v>400</v>
      </c>
      <c r="H82" s="194" t="s">
        <v>150</v>
      </c>
      <c r="I82" s="194" t="s">
        <v>741</v>
      </c>
      <c r="J82" s="43" t="s">
        <v>742</v>
      </c>
    </row>
    <row r="83" spans="1:10" ht="14.25" customHeight="1" x14ac:dyDescent="0.3"/>
    <row r="84" spans="1:10" ht="14.25" customHeight="1" x14ac:dyDescent="0.3"/>
    <row r="85" spans="1:10" ht="14.25" customHeight="1" x14ac:dyDescent="0.3"/>
    <row r="86" spans="1:10" ht="14.25" customHeight="1" x14ac:dyDescent="0.3"/>
    <row r="87" spans="1:10" ht="14.25" customHeight="1" x14ac:dyDescent="0.3"/>
    <row r="88" spans="1:10" ht="14.25" customHeight="1" x14ac:dyDescent="0.3"/>
    <row r="89" spans="1:10" ht="14.25" customHeight="1" x14ac:dyDescent="0.3"/>
    <row r="90" spans="1:10" ht="14.25" customHeight="1" x14ac:dyDescent="0.3"/>
    <row r="91" spans="1:10" ht="14.25" customHeight="1" x14ac:dyDescent="0.3"/>
    <row r="92" spans="1:10" ht="14.25" customHeight="1" x14ac:dyDescent="0.3"/>
    <row r="93" spans="1:10" ht="14.25" customHeight="1" x14ac:dyDescent="0.3"/>
    <row r="94" spans="1:10" ht="14.25" customHeight="1" x14ac:dyDescent="0.3"/>
    <row r="95" spans="1:10" ht="14.25" customHeight="1" x14ac:dyDescent="0.3"/>
    <row r="96" spans="1:10"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5"/>
  <dimension ref="A1:Z1000"/>
  <sheetViews>
    <sheetView workbookViewId="0"/>
  </sheetViews>
  <sheetFormatPr baseColWidth="10" defaultColWidth="14.44140625" defaultRowHeight="15" customHeight="1" x14ac:dyDescent="0.3"/>
  <cols>
    <col min="1" max="1" width="181.33203125" customWidth="1"/>
    <col min="2" max="21" width="10.6640625" customWidth="1"/>
  </cols>
  <sheetData>
    <row r="1" spans="1:26" ht="346.5" customHeight="1" x14ac:dyDescent="0.3">
      <c r="A1" s="275" t="s">
        <v>744</v>
      </c>
      <c r="B1" s="275"/>
      <c r="C1" s="275"/>
      <c r="D1" s="275"/>
      <c r="E1" s="275"/>
      <c r="F1" s="275"/>
      <c r="G1" s="275"/>
      <c r="H1" s="275"/>
      <c r="I1" s="275"/>
      <c r="J1" s="275"/>
      <c r="K1" s="275"/>
      <c r="L1" s="275"/>
      <c r="M1" s="275"/>
      <c r="N1" s="275"/>
      <c r="O1" s="275"/>
      <c r="P1" s="275"/>
      <c r="Q1" s="275"/>
      <c r="R1" s="275"/>
      <c r="S1" s="275"/>
      <c r="T1" s="275"/>
      <c r="U1" s="275"/>
      <c r="V1" s="275"/>
      <c r="W1" s="275"/>
      <c r="X1" s="275"/>
      <c r="Y1" s="275"/>
      <c r="Z1" s="275"/>
    </row>
    <row r="2" spans="1:26" ht="201" customHeight="1" x14ac:dyDescent="0.3">
      <c r="A2" s="275" t="s">
        <v>745</v>
      </c>
      <c r="B2" s="275"/>
      <c r="C2" s="275"/>
      <c r="D2" s="275"/>
      <c r="E2" s="275"/>
      <c r="F2" s="275"/>
      <c r="G2" s="275"/>
      <c r="H2" s="275"/>
      <c r="I2" s="275"/>
      <c r="J2" s="275"/>
      <c r="K2" s="275"/>
      <c r="L2" s="275"/>
      <c r="M2" s="275"/>
      <c r="N2" s="275"/>
      <c r="O2" s="275"/>
      <c r="P2" s="275"/>
      <c r="Q2" s="275"/>
      <c r="R2" s="275"/>
      <c r="S2" s="275"/>
      <c r="T2" s="275"/>
      <c r="U2" s="275"/>
      <c r="V2" s="275"/>
      <c r="W2" s="275"/>
      <c r="X2" s="275"/>
      <c r="Y2" s="275"/>
      <c r="Z2" s="275"/>
    </row>
    <row r="3" spans="1:26" ht="14.25" customHeight="1" x14ac:dyDescent="0.3">
      <c r="A3" s="275"/>
      <c r="B3" s="275"/>
      <c r="C3" s="275"/>
      <c r="D3" s="275"/>
      <c r="E3" s="275"/>
      <c r="F3" s="275"/>
      <c r="G3" s="275"/>
      <c r="H3" s="275"/>
      <c r="I3" s="275"/>
      <c r="J3" s="275"/>
      <c r="K3" s="275"/>
      <c r="L3" s="275"/>
      <c r="M3" s="275"/>
      <c r="N3" s="275"/>
      <c r="O3" s="275"/>
      <c r="P3" s="275"/>
      <c r="Q3" s="275"/>
      <c r="R3" s="275"/>
      <c r="S3" s="275"/>
      <c r="T3" s="275"/>
      <c r="U3" s="275"/>
      <c r="V3" s="275"/>
      <c r="W3" s="275"/>
      <c r="X3" s="275"/>
      <c r="Y3" s="275"/>
      <c r="Z3" s="275"/>
    </row>
    <row r="4" spans="1:26" ht="14.25" customHeight="1" x14ac:dyDescent="0.3"/>
    <row r="5" spans="1:26" ht="14.25" customHeight="1" x14ac:dyDescent="0.3"/>
    <row r="6" spans="1:26" ht="14.25" customHeight="1" x14ac:dyDescent="0.3"/>
    <row r="7" spans="1:26" ht="14.25" customHeight="1" x14ac:dyDescent="0.3"/>
    <row r="8" spans="1:26" ht="14.25" customHeight="1" x14ac:dyDescent="0.3"/>
    <row r="9" spans="1:26" ht="14.25" customHeight="1" x14ac:dyDescent="0.3"/>
    <row r="10" spans="1:26" ht="14.25" customHeight="1" x14ac:dyDescent="0.3"/>
    <row r="11" spans="1:26" ht="14.25" customHeight="1" x14ac:dyDescent="0.3"/>
    <row r="12" spans="1:26" ht="14.25" customHeight="1" x14ac:dyDescent="0.3"/>
    <row r="13" spans="1:26" ht="14.25" customHeight="1" x14ac:dyDescent="0.3"/>
    <row r="14" spans="1:26" ht="14.25" customHeight="1" x14ac:dyDescent="0.3"/>
    <row r="15" spans="1:26" ht="14.25" customHeight="1" x14ac:dyDescent="0.3"/>
    <row r="16" spans="1:2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
  <dimension ref="A1:AE1000"/>
  <sheetViews>
    <sheetView workbookViewId="0"/>
  </sheetViews>
  <sheetFormatPr baseColWidth="10" defaultColWidth="14.44140625" defaultRowHeight="15" customHeight="1" x14ac:dyDescent="0.3"/>
  <cols>
    <col min="1" max="1" width="13.6640625" customWidth="1"/>
    <col min="2" max="2" width="12.6640625" customWidth="1"/>
    <col min="3" max="4" width="13.88671875" customWidth="1"/>
    <col min="5" max="5" width="15.6640625" customWidth="1"/>
    <col min="6" max="6" width="17.44140625" customWidth="1"/>
    <col min="7" max="10" width="10.6640625" customWidth="1"/>
    <col min="11" max="11" width="87.5546875" customWidth="1"/>
    <col min="12" max="31" width="10.6640625" customWidth="1"/>
  </cols>
  <sheetData>
    <row r="1" spans="1:31" ht="39.75" customHeight="1" x14ac:dyDescent="0.3">
      <c r="A1" s="276" t="s">
        <v>117</v>
      </c>
      <c r="B1" s="277" t="s">
        <v>746</v>
      </c>
      <c r="C1" s="277"/>
      <c r="D1" s="277"/>
      <c r="E1" s="277"/>
      <c r="F1" s="277"/>
      <c r="G1" s="277"/>
      <c r="H1" s="277"/>
      <c r="I1" s="277"/>
      <c r="K1" s="278"/>
      <c r="L1" s="278"/>
      <c r="M1" s="278"/>
      <c r="N1" s="278"/>
      <c r="O1" s="278"/>
      <c r="P1" s="278"/>
      <c r="Q1" s="278"/>
      <c r="R1" s="278"/>
      <c r="S1" s="278"/>
      <c r="T1" s="278"/>
      <c r="U1" s="278"/>
      <c r="V1" s="278"/>
      <c r="W1" s="278"/>
      <c r="X1" s="278"/>
      <c r="Y1" s="278"/>
      <c r="Z1" s="278"/>
      <c r="AA1" s="278"/>
      <c r="AB1" s="278"/>
      <c r="AC1" s="278"/>
      <c r="AD1" s="278"/>
      <c r="AE1" s="278"/>
    </row>
    <row r="2" spans="1:31" ht="14.25" customHeight="1" x14ac:dyDescent="0.3">
      <c r="A2" s="175" t="s">
        <v>473</v>
      </c>
      <c r="B2" s="176" t="s">
        <v>474</v>
      </c>
      <c r="C2" s="176" t="s">
        <v>475</v>
      </c>
      <c r="D2" s="176" t="s">
        <v>736</v>
      </c>
      <c r="E2" s="271" t="s">
        <v>737</v>
      </c>
      <c r="F2" s="175" t="s">
        <v>747</v>
      </c>
      <c r="G2" s="177" t="s">
        <v>737</v>
      </c>
      <c r="K2" s="120" t="s">
        <v>748</v>
      </c>
    </row>
    <row r="3" spans="1:31" ht="60" customHeight="1" x14ac:dyDescent="0.3">
      <c r="A3" s="178">
        <v>1</v>
      </c>
      <c r="B3" s="179" t="s">
        <v>481</v>
      </c>
      <c r="C3" s="179" t="s">
        <v>482</v>
      </c>
      <c r="D3" s="179">
        <v>300</v>
      </c>
      <c r="E3" s="273" t="s">
        <v>151</v>
      </c>
      <c r="F3" s="178">
        <v>5000</v>
      </c>
      <c r="G3" s="180" t="s">
        <v>151</v>
      </c>
      <c r="K3" s="120"/>
    </row>
    <row r="4" spans="1:31" ht="174" customHeight="1" x14ac:dyDescent="0.3">
      <c r="A4" s="40">
        <v>2</v>
      </c>
      <c r="B4" s="183" t="s">
        <v>481</v>
      </c>
      <c r="C4" s="183" t="s">
        <v>154</v>
      </c>
      <c r="D4" s="183">
        <v>300</v>
      </c>
      <c r="E4" s="272" t="s">
        <v>151</v>
      </c>
      <c r="F4" s="40">
        <v>5000</v>
      </c>
      <c r="G4" s="37" t="s">
        <v>150</v>
      </c>
      <c r="K4" s="120" t="s">
        <v>749</v>
      </c>
    </row>
    <row r="5" spans="1:31" ht="14.25" customHeight="1" x14ac:dyDescent="0.3">
      <c r="A5" s="40">
        <v>3</v>
      </c>
      <c r="B5" s="183" t="s">
        <v>481</v>
      </c>
      <c r="C5" s="183" t="s">
        <v>486</v>
      </c>
      <c r="D5" s="183">
        <v>300</v>
      </c>
      <c r="E5" s="272" t="s">
        <v>150</v>
      </c>
      <c r="F5" s="40">
        <v>5000</v>
      </c>
      <c r="G5" s="37" t="s">
        <v>150</v>
      </c>
      <c r="K5" s="120"/>
    </row>
    <row r="6" spans="1:31" ht="14.25" customHeight="1" x14ac:dyDescent="0.3">
      <c r="A6" s="40">
        <v>4</v>
      </c>
      <c r="B6" s="183" t="s">
        <v>481</v>
      </c>
      <c r="C6" s="183" t="s">
        <v>490</v>
      </c>
      <c r="D6" s="183">
        <v>300</v>
      </c>
      <c r="E6" s="272" t="s">
        <v>153</v>
      </c>
      <c r="F6" s="40">
        <v>5000</v>
      </c>
      <c r="G6" s="37" t="s">
        <v>150</v>
      </c>
      <c r="K6" s="120"/>
    </row>
    <row r="7" spans="1:31" ht="14.25" customHeight="1" x14ac:dyDescent="0.3">
      <c r="A7" s="40">
        <v>5</v>
      </c>
      <c r="B7" s="183" t="s">
        <v>481</v>
      </c>
      <c r="C7" s="183" t="s">
        <v>431</v>
      </c>
      <c r="D7" s="183">
        <v>300</v>
      </c>
      <c r="E7" s="272" t="s">
        <v>150</v>
      </c>
      <c r="F7" s="40">
        <v>5000</v>
      </c>
      <c r="G7" s="37" t="s">
        <v>150</v>
      </c>
      <c r="K7" s="120"/>
    </row>
    <row r="8" spans="1:31" ht="14.25" customHeight="1" x14ac:dyDescent="0.3">
      <c r="A8" s="40">
        <v>6</v>
      </c>
      <c r="B8" s="183" t="s">
        <v>481</v>
      </c>
      <c r="C8" s="183" t="s">
        <v>160</v>
      </c>
      <c r="D8" s="183">
        <v>300</v>
      </c>
      <c r="E8" s="272" t="s">
        <v>642</v>
      </c>
      <c r="F8" s="40">
        <v>5000</v>
      </c>
      <c r="G8" s="37" t="s">
        <v>150</v>
      </c>
    </row>
    <row r="9" spans="1:31" ht="14.25" customHeight="1" x14ac:dyDescent="0.3">
      <c r="A9" s="40">
        <v>7</v>
      </c>
      <c r="B9" s="183" t="s">
        <v>481</v>
      </c>
      <c r="C9" s="183" t="s">
        <v>495</v>
      </c>
      <c r="D9" s="183">
        <v>300</v>
      </c>
      <c r="E9" s="272" t="s">
        <v>642</v>
      </c>
      <c r="F9" s="40">
        <v>5000</v>
      </c>
      <c r="G9" s="37" t="s">
        <v>150</v>
      </c>
    </row>
    <row r="10" spans="1:31" ht="14.25" customHeight="1" x14ac:dyDescent="0.3">
      <c r="A10" s="40">
        <v>8</v>
      </c>
      <c r="B10" s="183" t="s">
        <v>481</v>
      </c>
      <c r="C10" s="183" t="s">
        <v>496</v>
      </c>
      <c r="D10" s="183">
        <v>300</v>
      </c>
      <c r="E10" s="272" t="s">
        <v>642</v>
      </c>
      <c r="F10" s="40">
        <v>5000</v>
      </c>
      <c r="G10" s="37" t="s">
        <v>150</v>
      </c>
    </row>
    <row r="11" spans="1:31" ht="14.25" customHeight="1" x14ac:dyDescent="0.3">
      <c r="A11" s="40">
        <v>9</v>
      </c>
      <c r="B11" s="183" t="s">
        <v>481</v>
      </c>
      <c r="C11" s="183" t="s">
        <v>482</v>
      </c>
      <c r="D11" s="183">
        <v>1000</v>
      </c>
      <c r="E11" s="272" t="s">
        <v>151</v>
      </c>
      <c r="F11" s="40">
        <v>5000</v>
      </c>
      <c r="G11" s="37" t="s">
        <v>151</v>
      </c>
    </row>
    <row r="12" spans="1:31" ht="14.25" customHeight="1" x14ac:dyDescent="0.3">
      <c r="A12" s="40">
        <v>10</v>
      </c>
      <c r="B12" s="183" t="s">
        <v>481</v>
      </c>
      <c r="C12" s="183" t="s">
        <v>482</v>
      </c>
      <c r="D12" s="183">
        <v>1000</v>
      </c>
      <c r="E12" s="272" t="s">
        <v>150</v>
      </c>
      <c r="F12" s="40">
        <v>5000</v>
      </c>
      <c r="G12" s="37" t="s">
        <v>150</v>
      </c>
    </row>
    <row r="13" spans="1:31" ht="14.25" customHeight="1" x14ac:dyDescent="0.3">
      <c r="A13" s="40">
        <v>11</v>
      </c>
      <c r="B13" s="183" t="s">
        <v>481</v>
      </c>
      <c r="C13" s="183" t="s">
        <v>154</v>
      </c>
      <c r="D13" s="183">
        <v>1000</v>
      </c>
      <c r="E13" s="272" t="s">
        <v>150</v>
      </c>
      <c r="F13" s="40">
        <v>5000</v>
      </c>
      <c r="G13" s="37" t="s">
        <v>150</v>
      </c>
    </row>
    <row r="14" spans="1:31" ht="14.25" customHeight="1" x14ac:dyDescent="0.3">
      <c r="A14" s="40">
        <v>12</v>
      </c>
      <c r="B14" s="183" t="s">
        <v>481</v>
      </c>
      <c r="C14" s="183" t="s">
        <v>486</v>
      </c>
      <c r="D14" s="183">
        <v>1000</v>
      </c>
      <c r="E14" s="272" t="s">
        <v>150</v>
      </c>
      <c r="F14" s="40">
        <v>5000</v>
      </c>
      <c r="G14" s="37" t="s">
        <v>150</v>
      </c>
    </row>
    <row r="15" spans="1:31" ht="14.25" customHeight="1" x14ac:dyDescent="0.3">
      <c r="A15" s="40">
        <v>13</v>
      </c>
      <c r="B15" s="183" t="s">
        <v>481</v>
      </c>
      <c r="C15" s="183" t="s">
        <v>490</v>
      </c>
      <c r="D15" s="183">
        <v>1000</v>
      </c>
      <c r="E15" s="272" t="s">
        <v>153</v>
      </c>
      <c r="F15" s="40">
        <v>5000</v>
      </c>
      <c r="G15" s="37" t="s">
        <v>150</v>
      </c>
    </row>
    <row r="16" spans="1:31" ht="14.25" customHeight="1" x14ac:dyDescent="0.3">
      <c r="A16" s="40">
        <v>14</v>
      </c>
      <c r="B16" s="183" t="s">
        <v>481</v>
      </c>
      <c r="C16" s="183" t="s">
        <v>431</v>
      </c>
      <c r="D16" s="183">
        <v>1000</v>
      </c>
      <c r="E16" s="272" t="s">
        <v>150</v>
      </c>
      <c r="F16" s="40">
        <v>5000</v>
      </c>
      <c r="G16" s="37" t="s">
        <v>150</v>
      </c>
    </row>
    <row r="17" spans="1:7" ht="14.25" customHeight="1" x14ac:dyDescent="0.3">
      <c r="A17" s="40">
        <v>15</v>
      </c>
      <c r="B17" s="183" t="s">
        <v>481</v>
      </c>
      <c r="C17" s="183" t="s">
        <v>160</v>
      </c>
      <c r="D17" s="183">
        <v>1000</v>
      </c>
      <c r="E17" s="272" t="s">
        <v>642</v>
      </c>
      <c r="F17" s="40">
        <v>5000</v>
      </c>
      <c r="G17" s="37" t="s">
        <v>150</v>
      </c>
    </row>
    <row r="18" spans="1:7" ht="14.25" customHeight="1" x14ac:dyDescent="0.3">
      <c r="A18" s="40">
        <v>16</v>
      </c>
      <c r="B18" s="183" t="s">
        <v>481</v>
      </c>
      <c r="C18" s="183" t="s">
        <v>495</v>
      </c>
      <c r="D18" s="183">
        <v>1000</v>
      </c>
      <c r="E18" s="272" t="s">
        <v>642</v>
      </c>
      <c r="F18" s="40">
        <v>5000</v>
      </c>
      <c r="G18" s="37" t="s">
        <v>150</v>
      </c>
    </row>
    <row r="19" spans="1:7" ht="14.25" customHeight="1" x14ac:dyDescent="0.3">
      <c r="A19" s="40">
        <v>17</v>
      </c>
      <c r="B19" s="183" t="s">
        <v>481</v>
      </c>
      <c r="C19" s="183" t="s">
        <v>496</v>
      </c>
      <c r="D19" s="183">
        <v>1000</v>
      </c>
      <c r="E19" s="272" t="s">
        <v>642</v>
      </c>
      <c r="F19" s="40">
        <v>5000</v>
      </c>
      <c r="G19" s="37" t="s">
        <v>150</v>
      </c>
    </row>
    <row r="20" spans="1:7" ht="14.25" customHeight="1" x14ac:dyDescent="0.3">
      <c r="A20" s="40">
        <v>18</v>
      </c>
      <c r="B20" s="183" t="s">
        <v>497</v>
      </c>
      <c r="C20" s="183" t="s">
        <v>482</v>
      </c>
      <c r="D20" s="183">
        <v>600</v>
      </c>
      <c r="E20" s="272" t="s">
        <v>151</v>
      </c>
      <c r="F20" s="40">
        <v>5000</v>
      </c>
      <c r="G20" s="37" t="s">
        <v>151</v>
      </c>
    </row>
    <row r="21" spans="1:7" ht="14.25" customHeight="1" x14ac:dyDescent="0.3">
      <c r="A21" s="40">
        <v>19</v>
      </c>
      <c r="B21" s="183" t="s">
        <v>497</v>
      </c>
      <c r="C21" s="183" t="s">
        <v>154</v>
      </c>
      <c r="D21" s="183">
        <v>600</v>
      </c>
      <c r="E21" s="272" t="s">
        <v>151</v>
      </c>
      <c r="F21" s="40">
        <v>5000</v>
      </c>
      <c r="G21" s="37" t="s">
        <v>150</v>
      </c>
    </row>
    <row r="22" spans="1:7" ht="14.25" customHeight="1" x14ac:dyDescent="0.3">
      <c r="A22" s="40">
        <v>20</v>
      </c>
      <c r="B22" s="183" t="s">
        <v>497</v>
      </c>
      <c r="C22" s="183" t="s">
        <v>486</v>
      </c>
      <c r="D22" s="183">
        <v>600</v>
      </c>
      <c r="E22" s="272" t="s">
        <v>150</v>
      </c>
      <c r="F22" s="40">
        <v>5000</v>
      </c>
      <c r="G22" s="37" t="s">
        <v>150</v>
      </c>
    </row>
    <row r="23" spans="1:7" ht="14.25" customHeight="1" x14ac:dyDescent="0.3">
      <c r="A23" s="40">
        <v>21</v>
      </c>
      <c r="B23" s="183" t="s">
        <v>497</v>
      </c>
      <c r="C23" s="183" t="s">
        <v>490</v>
      </c>
      <c r="D23" s="183">
        <v>600</v>
      </c>
      <c r="E23" s="272" t="s">
        <v>153</v>
      </c>
      <c r="F23" s="40">
        <v>5000</v>
      </c>
      <c r="G23" s="37" t="s">
        <v>150</v>
      </c>
    </row>
    <row r="24" spans="1:7" ht="14.25" customHeight="1" x14ac:dyDescent="0.3">
      <c r="A24" s="40">
        <v>22</v>
      </c>
      <c r="B24" s="183" t="s">
        <v>497</v>
      </c>
      <c r="C24" s="183" t="s">
        <v>431</v>
      </c>
      <c r="D24" s="183">
        <v>600</v>
      </c>
      <c r="E24" s="272" t="s">
        <v>150</v>
      </c>
      <c r="F24" s="40">
        <v>5000</v>
      </c>
      <c r="G24" s="37" t="s">
        <v>150</v>
      </c>
    </row>
    <row r="25" spans="1:7" ht="14.25" customHeight="1" x14ac:dyDescent="0.3">
      <c r="A25" s="40">
        <v>23</v>
      </c>
      <c r="B25" s="183" t="s">
        <v>497</v>
      </c>
      <c r="C25" s="183" t="s">
        <v>160</v>
      </c>
      <c r="D25" s="183">
        <v>600</v>
      </c>
      <c r="E25" s="272" t="s">
        <v>150</v>
      </c>
      <c r="F25" s="40">
        <v>5000</v>
      </c>
      <c r="G25" s="37" t="s">
        <v>150</v>
      </c>
    </row>
    <row r="26" spans="1:7" ht="14.25" customHeight="1" x14ac:dyDescent="0.3">
      <c r="A26" s="40">
        <v>24</v>
      </c>
      <c r="B26" s="183" t="s">
        <v>497</v>
      </c>
      <c r="C26" s="183" t="s">
        <v>495</v>
      </c>
      <c r="D26" s="183">
        <v>600</v>
      </c>
      <c r="E26" s="272" t="s">
        <v>150</v>
      </c>
      <c r="F26" s="40">
        <v>5000</v>
      </c>
      <c r="G26" s="37" t="s">
        <v>150</v>
      </c>
    </row>
    <row r="27" spans="1:7" ht="14.25" customHeight="1" x14ac:dyDescent="0.3">
      <c r="A27" s="40">
        <v>25</v>
      </c>
      <c r="B27" s="183" t="s">
        <v>497</v>
      </c>
      <c r="C27" s="183" t="s">
        <v>496</v>
      </c>
      <c r="D27" s="183">
        <v>600</v>
      </c>
      <c r="E27" s="272" t="s">
        <v>150</v>
      </c>
      <c r="F27" s="40">
        <v>5000</v>
      </c>
      <c r="G27" s="37" t="s">
        <v>150</v>
      </c>
    </row>
    <row r="28" spans="1:7" ht="14.25" customHeight="1" x14ac:dyDescent="0.3">
      <c r="A28" s="40">
        <v>26</v>
      </c>
      <c r="B28" s="183" t="s">
        <v>497</v>
      </c>
      <c r="C28" s="183" t="s">
        <v>482</v>
      </c>
      <c r="D28" s="183">
        <v>1000</v>
      </c>
      <c r="E28" s="272" t="s">
        <v>151</v>
      </c>
      <c r="F28" s="40">
        <v>5000</v>
      </c>
      <c r="G28" s="37" t="s">
        <v>151</v>
      </c>
    </row>
    <row r="29" spans="1:7" ht="14.25" customHeight="1" x14ac:dyDescent="0.3">
      <c r="A29" s="40">
        <v>27</v>
      </c>
      <c r="B29" s="183" t="s">
        <v>497</v>
      </c>
      <c r="C29" s="183" t="s">
        <v>154</v>
      </c>
      <c r="D29" s="183">
        <v>1000</v>
      </c>
      <c r="E29" s="272" t="s">
        <v>150</v>
      </c>
      <c r="F29" s="40">
        <v>5000</v>
      </c>
      <c r="G29" s="37" t="s">
        <v>150</v>
      </c>
    </row>
    <row r="30" spans="1:7" ht="14.25" customHeight="1" x14ac:dyDescent="0.3">
      <c r="A30" s="40">
        <v>28</v>
      </c>
      <c r="B30" s="183" t="s">
        <v>497</v>
      </c>
      <c r="C30" s="183" t="s">
        <v>486</v>
      </c>
      <c r="D30" s="183">
        <v>1000</v>
      </c>
      <c r="E30" s="272" t="s">
        <v>150</v>
      </c>
      <c r="F30" s="40">
        <v>5000</v>
      </c>
      <c r="G30" s="37" t="s">
        <v>150</v>
      </c>
    </row>
    <row r="31" spans="1:7" ht="14.25" customHeight="1" x14ac:dyDescent="0.3">
      <c r="A31" s="40">
        <v>29</v>
      </c>
      <c r="B31" s="183" t="s">
        <v>497</v>
      </c>
      <c r="C31" s="183" t="s">
        <v>490</v>
      </c>
      <c r="D31" s="183">
        <v>1000</v>
      </c>
      <c r="E31" s="272" t="s">
        <v>153</v>
      </c>
      <c r="F31" s="40">
        <v>5000</v>
      </c>
      <c r="G31" s="37" t="s">
        <v>150</v>
      </c>
    </row>
    <row r="32" spans="1:7" ht="14.25" customHeight="1" x14ac:dyDescent="0.3">
      <c r="A32" s="40">
        <v>30</v>
      </c>
      <c r="B32" s="183" t="s">
        <v>497</v>
      </c>
      <c r="C32" s="183" t="s">
        <v>431</v>
      </c>
      <c r="D32" s="183">
        <v>1000</v>
      </c>
      <c r="E32" s="272" t="s">
        <v>150</v>
      </c>
      <c r="F32" s="40">
        <v>5000</v>
      </c>
      <c r="G32" s="37" t="s">
        <v>150</v>
      </c>
    </row>
    <row r="33" spans="1:7" ht="14.25" customHeight="1" x14ac:dyDescent="0.3">
      <c r="A33" s="40">
        <v>31</v>
      </c>
      <c r="B33" s="183" t="s">
        <v>497</v>
      </c>
      <c r="C33" s="183" t="s">
        <v>160</v>
      </c>
      <c r="D33" s="183">
        <v>1000</v>
      </c>
      <c r="E33" s="272" t="s">
        <v>150</v>
      </c>
      <c r="F33" s="40">
        <v>5000</v>
      </c>
      <c r="G33" s="37" t="s">
        <v>150</v>
      </c>
    </row>
    <row r="34" spans="1:7" ht="14.25" customHeight="1" x14ac:dyDescent="0.3">
      <c r="A34" s="40">
        <v>32</v>
      </c>
      <c r="B34" s="183" t="s">
        <v>497</v>
      </c>
      <c r="C34" s="183" t="s">
        <v>495</v>
      </c>
      <c r="D34" s="183">
        <v>1000</v>
      </c>
      <c r="E34" s="272" t="s">
        <v>150</v>
      </c>
      <c r="F34" s="40">
        <v>5000</v>
      </c>
      <c r="G34" s="37" t="s">
        <v>150</v>
      </c>
    </row>
    <row r="35" spans="1:7" ht="14.25" customHeight="1" x14ac:dyDescent="0.3">
      <c r="A35" s="40">
        <v>33</v>
      </c>
      <c r="B35" s="183" t="s">
        <v>497</v>
      </c>
      <c r="C35" s="183" t="s">
        <v>496</v>
      </c>
      <c r="D35" s="183">
        <v>1000</v>
      </c>
      <c r="E35" s="272" t="s">
        <v>150</v>
      </c>
      <c r="F35" s="40">
        <v>5000</v>
      </c>
      <c r="G35" s="37" t="s">
        <v>150</v>
      </c>
    </row>
    <row r="36" spans="1:7" ht="14.25" customHeight="1" x14ac:dyDescent="0.3">
      <c r="A36" s="40">
        <v>34</v>
      </c>
      <c r="B36" s="183" t="s">
        <v>138</v>
      </c>
      <c r="C36" s="183" t="s">
        <v>482</v>
      </c>
      <c r="D36" s="183">
        <v>1000</v>
      </c>
      <c r="E36" s="272" t="s">
        <v>151</v>
      </c>
      <c r="F36" s="40">
        <v>5000</v>
      </c>
      <c r="G36" s="37" t="s">
        <v>151</v>
      </c>
    </row>
    <row r="37" spans="1:7" ht="14.25" customHeight="1" x14ac:dyDescent="0.3">
      <c r="A37" s="40">
        <v>35</v>
      </c>
      <c r="B37" s="183" t="s">
        <v>138</v>
      </c>
      <c r="C37" s="183" t="s">
        <v>154</v>
      </c>
      <c r="D37" s="183">
        <v>1000</v>
      </c>
      <c r="E37" s="272" t="s">
        <v>151</v>
      </c>
      <c r="F37" s="40">
        <v>5000</v>
      </c>
      <c r="G37" s="37" t="s">
        <v>150</v>
      </c>
    </row>
    <row r="38" spans="1:7" ht="14.25" customHeight="1" x14ac:dyDescent="0.3">
      <c r="A38" s="40">
        <v>36</v>
      </c>
      <c r="B38" s="183" t="s">
        <v>138</v>
      </c>
      <c r="C38" s="183" t="s">
        <v>486</v>
      </c>
      <c r="D38" s="183">
        <v>1000</v>
      </c>
      <c r="E38" s="272" t="s">
        <v>151</v>
      </c>
      <c r="F38" s="40">
        <v>5000</v>
      </c>
      <c r="G38" s="37" t="s">
        <v>150</v>
      </c>
    </row>
    <row r="39" spans="1:7" ht="14.25" customHeight="1" x14ac:dyDescent="0.3">
      <c r="A39" s="40">
        <v>37</v>
      </c>
      <c r="B39" s="183" t="s">
        <v>138</v>
      </c>
      <c r="C39" s="183" t="s">
        <v>490</v>
      </c>
      <c r="D39" s="183">
        <v>1000</v>
      </c>
      <c r="E39" s="272" t="s">
        <v>151</v>
      </c>
      <c r="F39" s="40">
        <v>5000</v>
      </c>
      <c r="G39" s="37" t="s">
        <v>150</v>
      </c>
    </row>
    <row r="40" spans="1:7" ht="14.25" customHeight="1" x14ac:dyDescent="0.3">
      <c r="A40" s="40">
        <v>38</v>
      </c>
      <c r="B40" s="183" t="s">
        <v>138</v>
      </c>
      <c r="C40" s="183" t="s">
        <v>431</v>
      </c>
      <c r="D40" s="183">
        <v>1000</v>
      </c>
      <c r="E40" s="272" t="s">
        <v>151</v>
      </c>
      <c r="F40" s="40">
        <v>5000</v>
      </c>
      <c r="G40" s="37" t="s">
        <v>150</v>
      </c>
    </row>
    <row r="41" spans="1:7" ht="14.25" customHeight="1" x14ac:dyDescent="0.3">
      <c r="A41" s="40">
        <v>39</v>
      </c>
      <c r="B41" s="183" t="s">
        <v>138</v>
      </c>
      <c r="C41" s="183" t="s">
        <v>160</v>
      </c>
      <c r="D41" s="183">
        <v>1000</v>
      </c>
      <c r="E41" s="272" t="s">
        <v>150</v>
      </c>
      <c r="F41" s="40">
        <v>5000</v>
      </c>
      <c r="G41" s="37" t="s">
        <v>150</v>
      </c>
    </row>
    <row r="42" spans="1:7" ht="14.25" customHeight="1" x14ac:dyDescent="0.3">
      <c r="A42" s="40">
        <v>40</v>
      </c>
      <c r="B42" s="183" t="s">
        <v>138</v>
      </c>
      <c r="C42" s="183" t="s">
        <v>495</v>
      </c>
      <c r="D42" s="183">
        <v>1000</v>
      </c>
      <c r="E42" s="272" t="s">
        <v>150</v>
      </c>
      <c r="F42" s="40">
        <v>5000</v>
      </c>
      <c r="G42" s="37" t="s">
        <v>150</v>
      </c>
    </row>
    <row r="43" spans="1:7" ht="14.25" customHeight="1" x14ac:dyDescent="0.3">
      <c r="A43" s="40">
        <v>41</v>
      </c>
      <c r="B43" s="183" t="s">
        <v>138</v>
      </c>
      <c r="C43" s="183" t="s">
        <v>496</v>
      </c>
      <c r="D43" s="183">
        <v>1000</v>
      </c>
      <c r="E43" s="272" t="s">
        <v>150</v>
      </c>
      <c r="F43" s="40">
        <v>5000</v>
      </c>
      <c r="G43" s="37" t="s">
        <v>150</v>
      </c>
    </row>
    <row r="44" spans="1:7" ht="14.25" customHeight="1" x14ac:dyDescent="0.3">
      <c r="A44" s="40">
        <v>42</v>
      </c>
      <c r="B44" s="183" t="s">
        <v>138</v>
      </c>
      <c r="C44" s="183" t="s">
        <v>482</v>
      </c>
      <c r="D44" s="183">
        <v>2500</v>
      </c>
      <c r="E44" s="272" t="s">
        <v>151</v>
      </c>
      <c r="F44" s="40">
        <v>5000</v>
      </c>
      <c r="G44" s="37" t="s">
        <v>151</v>
      </c>
    </row>
    <row r="45" spans="1:7" ht="14.25" customHeight="1" x14ac:dyDescent="0.3">
      <c r="A45" s="40">
        <v>43</v>
      </c>
      <c r="B45" s="183" t="s">
        <v>138</v>
      </c>
      <c r="C45" s="183" t="s">
        <v>154</v>
      </c>
      <c r="D45" s="183">
        <v>2500</v>
      </c>
      <c r="E45" s="272" t="s">
        <v>151</v>
      </c>
      <c r="F45" s="40">
        <v>5000</v>
      </c>
      <c r="G45" s="37" t="s">
        <v>150</v>
      </c>
    </row>
    <row r="46" spans="1:7" ht="14.25" customHeight="1" x14ac:dyDescent="0.3">
      <c r="A46" s="40">
        <v>44</v>
      </c>
      <c r="B46" s="183" t="s">
        <v>138</v>
      </c>
      <c r="C46" s="183" t="s">
        <v>486</v>
      </c>
      <c r="D46" s="183">
        <v>2500</v>
      </c>
      <c r="E46" s="272" t="s">
        <v>150</v>
      </c>
      <c r="F46" s="40">
        <v>5000</v>
      </c>
      <c r="G46" s="37" t="s">
        <v>150</v>
      </c>
    </row>
    <row r="47" spans="1:7" ht="14.25" customHeight="1" x14ac:dyDescent="0.3">
      <c r="A47" s="40">
        <v>45</v>
      </c>
      <c r="B47" s="183" t="s">
        <v>138</v>
      </c>
      <c r="C47" s="183" t="s">
        <v>490</v>
      </c>
      <c r="D47" s="183">
        <v>2500</v>
      </c>
      <c r="E47" s="272" t="s">
        <v>153</v>
      </c>
      <c r="F47" s="40">
        <v>5000</v>
      </c>
      <c r="G47" s="37" t="s">
        <v>150</v>
      </c>
    </row>
    <row r="48" spans="1:7" ht="14.25" customHeight="1" x14ac:dyDescent="0.3">
      <c r="A48" s="40">
        <v>46</v>
      </c>
      <c r="B48" s="183" t="s">
        <v>138</v>
      </c>
      <c r="C48" s="183" t="s">
        <v>431</v>
      </c>
      <c r="D48" s="183">
        <v>2500</v>
      </c>
      <c r="E48" s="272" t="s">
        <v>150</v>
      </c>
      <c r="F48" s="40">
        <v>5000</v>
      </c>
      <c r="G48" s="37" t="s">
        <v>150</v>
      </c>
    </row>
    <row r="49" spans="1:7" ht="14.25" customHeight="1" x14ac:dyDescent="0.3">
      <c r="A49" s="40">
        <v>47</v>
      </c>
      <c r="B49" s="183" t="s">
        <v>138</v>
      </c>
      <c r="C49" s="183" t="s">
        <v>160</v>
      </c>
      <c r="D49" s="183">
        <v>2500</v>
      </c>
      <c r="E49" s="272" t="s">
        <v>150</v>
      </c>
      <c r="F49" s="40">
        <v>5000</v>
      </c>
      <c r="G49" s="37" t="s">
        <v>150</v>
      </c>
    </row>
    <row r="50" spans="1:7" ht="14.25" customHeight="1" x14ac:dyDescent="0.3">
      <c r="A50" s="40">
        <v>48</v>
      </c>
      <c r="B50" s="183" t="s">
        <v>138</v>
      </c>
      <c r="C50" s="183" t="s">
        <v>495</v>
      </c>
      <c r="D50" s="183">
        <v>2500</v>
      </c>
      <c r="E50" s="272" t="s">
        <v>150</v>
      </c>
      <c r="F50" s="40">
        <v>5000</v>
      </c>
      <c r="G50" s="37" t="s">
        <v>150</v>
      </c>
    </row>
    <row r="51" spans="1:7" ht="14.25" customHeight="1" x14ac:dyDescent="0.3">
      <c r="A51" s="40">
        <v>49</v>
      </c>
      <c r="B51" s="183" t="s">
        <v>138</v>
      </c>
      <c r="C51" s="183" t="s">
        <v>496</v>
      </c>
      <c r="D51" s="183">
        <v>2500</v>
      </c>
      <c r="E51" s="272" t="s">
        <v>150</v>
      </c>
      <c r="F51" s="40">
        <v>5000</v>
      </c>
      <c r="G51" s="37" t="s">
        <v>150</v>
      </c>
    </row>
    <row r="52" spans="1:7" ht="14.25" customHeight="1" x14ac:dyDescent="0.3">
      <c r="A52" s="40">
        <v>50</v>
      </c>
      <c r="B52" s="183" t="s">
        <v>138</v>
      </c>
      <c r="C52" s="183" t="s">
        <v>482</v>
      </c>
      <c r="D52" s="183">
        <v>3500</v>
      </c>
      <c r="E52" s="272" t="s">
        <v>151</v>
      </c>
      <c r="F52" s="40">
        <v>5000</v>
      </c>
      <c r="G52" s="37" t="s">
        <v>151</v>
      </c>
    </row>
    <row r="53" spans="1:7" ht="14.25" customHeight="1" x14ac:dyDescent="0.3">
      <c r="A53" s="40">
        <v>51</v>
      </c>
      <c r="B53" s="183" t="s">
        <v>138</v>
      </c>
      <c r="C53" s="183" t="s">
        <v>154</v>
      </c>
      <c r="D53" s="183">
        <v>3500</v>
      </c>
      <c r="E53" s="272" t="s">
        <v>150</v>
      </c>
      <c r="F53" s="40">
        <v>5000</v>
      </c>
      <c r="G53" s="37" t="s">
        <v>150</v>
      </c>
    </row>
    <row r="54" spans="1:7" ht="14.25" customHeight="1" x14ac:dyDescent="0.3">
      <c r="A54" s="40">
        <v>52</v>
      </c>
      <c r="B54" s="183" t="s">
        <v>138</v>
      </c>
      <c r="C54" s="183" t="s">
        <v>486</v>
      </c>
      <c r="D54" s="183">
        <v>3500</v>
      </c>
      <c r="E54" s="272" t="s">
        <v>150</v>
      </c>
      <c r="F54" s="40">
        <v>5000</v>
      </c>
      <c r="G54" s="37" t="s">
        <v>150</v>
      </c>
    </row>
    <row r="55" spans="1:7" ht="14.25" customHeight="1" x14ac:dyDescent="0.3">
      <c r="A55" s="40">
        <v>53</v>
      </c>
      <c r="B55" s="183" t="s">
        <v>138</v>
      </c>
      <c r="C55" s="183" t="s">
        <v>490</v>
      </c>
      <c r="D55" s="183">
        <v>3500</v>
      </c>
      <c r="E55" s="272" t="s">
        <v>153</v>
      </c>
      <c r="F55" s="40">
        <v>5000</v>
      </c>
      <c r="G55" s="37" t="s">
        <v>150</v>
      </c>
    </row>
    <row r="56" spans="1:7" ht="14.25" customHeight="1" x14ac:dyDescent="0.3">
      <c r="A56" s="40">
        <v>54</v>
      </c>
      <c r="B56" s="183" t="s">
        <v>138</v>
      </c>
      <c r="C56" s="183" t="s">
        <v>431</v>
      </c>
      <c r="D56" s="183">
        <v>3500</v>
      </c>
      <c r="E56" s="272" t="s">
        <v>150</v>
      </c>
      <c r="F56" s="40">
        <v>5000</v>
      </c>
      <c r="G56" s="37" t="s">
        <v>150</v>
      </c>
    </row>
    <row r="57" spans="1:7" ht="14.25" customHeight="1" x14ac:dyDescent="0.3">
      <c r="A57" s="40">
        <v>55</v>
      </c>
      <c r="B57" s="183" t="s">
        <v>138</v>
      </c>
      <c r="C57" s="183" t="s">
        <v>160</v>
      </c>
      <c r="D57" s="183">
        <v>3500</v>
      </c>
      <c r="E57" s="272" t="s">
        <v>150</v>
      </c>
      <c r="F57" s="40">
        <v>5000</v>
      </c>
      <c r="G57" s="37" t="s">
        <v>150</v>
      </c>
    </row>
    <row r="58" spans="1:7" ht="14.25" customHeight="1" x14ac:dyDescent="0.3">
      <c r="A58" s="40">
        <v>56</v>
      </c>
      <c r="B58" s="183" t="s">
        <v>138</v>
      </c>
      <c r="C58" s="183" t="s">
        <v>495</v>
      </c>
      <c r="D58" s="183">
        <v>3500</v>
      </c>
      <c r="E58" s="272" t="s">
        <v>150</v>
      </c>
      <c r="F58" s="40">
        <v>5000</v>
      </c>
      <c r="G58" s="37" t="s">
        <v>150</v>
      </c>
    </row>
    <row r="59" spans="1:7" ht="14.25" customHeight="1" x14ac:dyDescent="0.3">
      <c r="A59" s="40">
        <v>57</v>
      </c>
      <c r="B59" s="183" t="s">
        <v>138</v>
      </c>
      <c r="C59" s="183" t="s">
        <v>496</v>
      </c>
      <c r="D59" s="183">
        <v>3500</v>
      </c>
      <c r="E59" s="272" t="s">
        <v>150</v>
      </c>
      <c r="F59" s="40">
        <v>5000</v>
      </c>
      <c r="G59" s="37" t="s">
        <v>150</v>
      </c>
    </row>
    <row r="60" spans="1:7" ht="14.25" customHeight="1" x14ac:dyDescent="0.3">
      <c r="A60" s="40">
        <v>58</v>
      </c>
      <c r="B60" s="183" t="s">
        <v>155</v>
      </c>
      <c r="C60" s="183" t="s">
        <v>482</v>
      </c>
      <c r="D60" s="183">
        <v>2500</v>
      </c>
      <c r="E60" s="272" t="s">
        <v>151</v>
      </c>
      <c r="F60" s="40">
        <v>5000</v>
      </c>
      <c r="G60" s="37" t="s">
        <v>151</v>
      </c>
    </row>
    <row r="61" spans="1:7" ht="14.25" customHeight="1" x14ac:dyDescent="0.3">
      <c r="A61" s="40">
        <v>59</v>
      </c>
      <c r="B61" s="183" t="s">
        <v>155</v>
      </c>
      <c r="C61" s="183" t="s">
        <v>154</v>
      </c>
      <c r="D61" s="183">
        <v>2500</v>
      </c>
      <c r="E61" s="272" t="s">
        <v>151</v>
      </c>
      <c r="F61" s="40">
        <v>5000</v>
      </c>
      <c r="G61" s="37" t="s">
        <v>150</v>
      </c>
    </row>
    <row r="62" spans="1:7" ht="14.25" customHeight="1" x14ac:dyDescent="0.3">
      <c r="A62" s="40">
        <v>60</v>
      </c>
      <c r="B62" s="183" t="s">
        <v>155</v>
      </c>
      <c r="C62" s="183" t="s">
        <v>486</v>
      </c>
      <c r="D62" s="183">
        <v>2500</v>
      </c>
      <c r="E62" s="272" t="s">
        <v>151</v>
      </c>
      <c r="F62" s="40">
        <v>5000</v>
      </c>
      <c r="G62" s="37" t="s">
        <v>150</v>
      </c>
    </row>
    <row r="63" spans="1:7" ht="14.25" customHeight="1" x14ac:dyDescent="0.3">
      <c r="A63" s="40">
        <v>61</v>
      </c>
      <c r="B63" s="183" t="s">
        <v>155</v>
      </c>
      <c r="C63" s="183" t="s">
        <v>490</v>
      </c>
      <c r="D63" s="183">
        <v>2500</v>
      </c>
      <c r="E63" s="272" t="s">
        <v>151</v>
      </c>
      <c r="F63" s="40">
        <v>5000</v>
      </c>
      <c r="G63" s="37" t="s">
        <v>150</v>
      </c>
    </row>
    <row r="64" spans="1:7" ht="14.25" customHeight="1" x14ac:dyDescent="0.3">
      <c r="A64" s="40">
        <v>62</v>
      </c>
      <c r="B64" s="183" t="s">
        <v>155</v>
      </c>
      <c r="C64" s="183" t="s">
        <v>431</v>
      </c>
      <c r="D64" s="183">
        <v>2500</v>
      </c>
      <c r="E64" s="272" t="s">
        <v>151</v>
      </c>
      <c r="F64" s="40">
        <v>5000</v>
      </c>
      <c r="G64" s="37" t="s">
        <v>150</v>
      </c>
    </row>
    <row r="65" spans="1:7" ht="14.25" customHeight="1" x14ac:dyDescent="0.3">
      <c r="A65" s="40">
        <v>63</v>
      </c>
      <c r="B65" s="183" t="s">
        <v>155</v>
      </c>
      <c r="C65" s="183" t="s">
        <v>160</v>
      </c>
      <c r="D65" s="183">
        <v>2500</v>
      </c>
      <c r="E65" s="272" t="s">
        <v>150</v>
      </c>
      <c r="F65" s="40">
        <v>5000</v>
      </c>
      <c r="G65" s="37" t="s">
        <v>150</v>
      </c>
    </row>
    <row r="66" spans="1:7" ht="14.25" customHeight="1" x14ac:dyDescent="0.3">
      <c r="A66" s="40">
        <v>64</v>
      </c>
      <c r="B66" s="183" t="s">
        <v>155</v>
      </c>
      <c r="C66" s="183" t="s">
        <v>495</v>
      </c>
      <c r="D66" s="183">
        <v>2500</v>
      </c>
      <c r="E66" s="272" t="s">
        <v>150</v>
      </c>
      <c r="F66" s="40">
        <v>5000</v>
      </c>
      <c r="G66" s="37" t="s">
        <v>150</v>
      </c>
    </row>
    <row r="67" spans="1:7" ht="14.25" customHeight="1" x14ac:dyDescent="0.3">
      <c r="A67" s="40">
        <v>65</v>
      </c>
      <c r="B67" s="183" t="s">
        <v>155</v>
      </c>
      <c r="C67" s="183" t="s">
        <v>496</v>
      </c>
      <c r="D67" s="183">
        <v>2500</v>
      </c>
      <c r="E67" s="272" t="s">
        <v>150</v>
      </c>
      <c r="F67" s="40">
        <v>5000</v>
      </c>
      <c r="G67" s="37" t="s">
        <v>150</v>
      </c>
    </row>
    <row r="68" spans="1:7" ht="14.25" customHeight="1" x14ac:dyDescent="0.3">
      <c r="A68" s="40">
        <v>66</v>
      </c>
      <c r="B68" s="183" t="s">
        <v>155</v>
      </c>
      <c r="C68" s="183" t="s">
        <v>482</v>
      </c>
      <c r="D68" s="183">
        <v>3500</v>
      </c>
      <c r="E68" s="272" t="s">
        <v>151</v>
      </c>
      <c r="F68" s="40">
        <v>5000</v>
      </c>
      <c r="G68" s="37" t="s">
        <v>151</v>
      </c>
    </row>
    <row r="69" spans="1:7" ht="14.25" customHeight="1" x14ac:dyDescent="0.3">
      <c r="A69" s="40">
        <v>67</v>
      </c>
      <c r="B69" s="183" t="s">
        <v>155</v>
      </c>
      <c r="C69" s="183" t="s">
        <v>154</v>
      </c>
      <c r="D69" s="183">
        <v>3500</v>
      </c>
      <c r="E69" s="272" t="s">
        <v>151</v>
      </c>
      <c r="F69" s="40">
        <v>5000</v>
      </c>
      <c r="G69" s="37" t="s">
        <v>150</v>
      </c>
    </row>
    <row r="70" spans="1:7" ht="14.25" customHeight="1" x14ac:dyDescent="0.3">
      <c r="A70" s="40">
        <v>68</v>
      </c>
      <c r="B70" s="183" t="s">
        <v>155</v>
      </c>
      <c r="C70" s="183" t="s">
        <v>486</v>
      </c>
      <c r="D70" s="183">
        <v>3500</v>
      </c>
      <c r="E70" s="272" t="s">
        <v>150</v>
      </c>
      <c r="F70" s="40">
        <v>5000</v>
      </c>
      <c r="G70" s="37" t="s">
        <v>150</v>
      </c>
    </row>
    <row r="71" spans="1:7" ht="14.25" customHeight="1" x14ac:dyDescent="0.3">
      <c r="A71" s="40">
        <v>69</v>
      </c>
      <c r="B71" s="183" t="s">
        <v>155</v>
      </c>
      <c r="C71" s="183" t="s">
        <v>490</v>
      </c>
      <c r="D71" s="183">
        <v>3500</v>
      </c>
      <c r="E71" s="272" t="s">
        <v>150</v>
      </c>
      <c r="F71" s="40">
        <v>5000</v>
      </c>
      <c r="G71" s="37" t="s">
        <v>150</v>
      </c>
    </row>
    <row r="72" spans="1:7" ht="14.25" customHeight="1" x14ac:dyDescent="0.3">
      <c r="A72" s="40">
        <v>70</v>
      </c>
      <c r="B72" s="183" t="s">
        <v>155</v>
      </c>
      <c r="C72" s="183" t="s">
        <v>431</v>
      </c>
      <c r="D72" s="183">
        <v>3500</v>
      </c>
      <c r="E72" s="272" t="s">
        <v>150</v>
      </c>
      <c r="F72" s="40">
        <v>5000</v>
      </c>
      <c r="G72" s="37" t="s">
        <v>150</v>
      </c>
    </row>
    <row r="73" spans="1:7" ht="14.25" customHeight="1" x14ac:dyDescent="0.3">
      <c r="A73" s="40">
        <v>71</v>
      </c>
      <c r="B73" s="183" t="s">
        <v>155</v>
      </c>
      <c r="C73" s="183" t="s">
        <v>160</v>
      </c>
      <c r="D73" s="183">
        <v>3500</v>
      </c>
      <c r="E73" s="272" t="s">
        <v>150</v>
      </c>
      <c r="F73" s="40">
        <v>5000</v>
      </c>
      <c r="G73" s="37" t="s">
        <v>150</v>
      </c>
    </row>
    <row r="74" spans="1:7" ht="14.25" customHeight="1" x14ac:dyDescent="0.3">
      <c r="A74" s="40">
        <v>72</v>
      </c>
      <c r="B74" s="183" t="s">
        <v>155</v>
      </c>
      <c r="C74" s="183" t="s">
        <v>495</v>
      </c>
      <c r="D74" s="183">
        <v>3500</v>
      </c>
      <c r="E74" s="272" t="s">
        <v>150</v>
      </c>
      <c r="F74" s="40">
        <v>5000</v>
      </c>
      <c r="G74" s="37" t="s">
        <v>150</v>
      </c>
    </row>
    <row r="75" spans="1:7" ht="14.25" customHeight="1" x14ac:dyDescent="0.3">
      <c r="A75" s="40">
        <v>73</v>
      </c>
      <c r="B75" s="183" t="s">
        <v>155</v>
      </c>
      <c r="C75" s="183" t="s">
        <v>496</v>
      </c>
      <c r="D75" s="183">
        <v>3500</v>
      </c>
      <c r="E75" s="272" t="s">
        <v>150</v>
      </c>
      <c r="F75" s="40">
        <v>5000</v>
      </c>
      <c r="G75" s="37" t="s">
        <v>150</v>
      </c>
    </row>
    <row r="76" spans="1:7" ht="14.25" customHeight="1" x14ac:dyDescent="0.3">
      <c r="A76" s="40">
        <v>74</v>
      </c>
      <c r="B76" s="183" t="s">
        <v>155</v>
      </c>
      <c r="C76" s="183" t="s">
        <v>482</v>
      </c>
      <c r="D76" s="183">
        <v>5000</v>
      </c>
      <c r="E76" s="272" t="s">
        <v>151</v>
      </c>
      <c r="F76" s="40">
        <v>5000</v>
      </c>
      <c r="G76" s="37" t="s">
        <v>151</v>
      </c>
    </row>
    <row r="77" spans="1:7" ht="14.25" customHeight="1" x14ac:dyDescent="0.3">
      <c r="A77" s="40">
        <v>75</v>
      </c>
      <c r="B77" s="183" t="s">
        <v>155</v>
      </c>
      <c r="C77" s="183" t="s">
        <v>154</v>
      </c>
      <c r="D77" s="183">
        <v>5000</v>
      </c>
      <c r="E77" s="272" t="s">
        <v>150</v>
      </c>
      <c r="F77" s="40">
        <v>5000</v>
      </c>
      <c r="G77" s="37" t="s">
        <v>150</v>
      </c>
    </row>
    <row r="78" spans="1:7" ht="14.25" customHeight="1" x14ac:dyDescent="0.3">
      <c r="A78" s="40">
        <v>76</v>
      </c>
      <c r="B78" s="183" t="s">
        <v>155</v>
      </c>
      <c r="C78" s="183" t="s">
        <v>486</v>
      </c>
      <c r="D78" s="183">
        <v>5000</v>
      </c>
      <c r="E78" s="272" t="s">
        <v>150</v>
      </c>
      <c r="F78" s="40">
        <v>5000</v>
      </c>
      <c r="G78" s="37" t="s">
        <v>150</v>
      </c>
    </row>
    <row r="79" spans="1:7" ht="14.25" customHeight="1" x14ac:dyDescent="0.3">
      <c r="A79" s="40">
        <v>77</v>
      </c>
      <c r="B79" s="183" t="s">
        <v>155</v>
      </c>
      <c r="C79" s="183" t="s">
        <v>490</v>
      </c>
      <c r="D79" s="183">
        <v>5000</v>
      </c>
      <c r="E79" s="272" t="s">
        <v>150</v>
      </c>
      <c r="F79" s="40">
        <v>5000</v>
      </c>
      <c r="G79" s="37" t="s">
        <v>150</v>
      </c>
    </row>
    <row r="80" spans="1:7" ht="14.25" customHeight="1" x14ac:dyDescent="0.3">
      <c r="A80" s="40">
        <v>78</v>
      </c>
      <c r="B80" s="183" t="s">
        <v>155</v>
      </c>
      <c r="C80" s="183" t="s">
        <v>431</v>
      </c>
      <c r="D80" s="183">
        <v>5000</v>
      </c>
      <c r="E80" s="272" t="s">
        <v>150</v>
      </c>
      <c r="F80" s="40">
        <v>5000</v>
      </c>
      <c r="G80" s="37" t="s">
        <v>150</v>
      </c>
    </row>
    <row r="81" spans="1:31" ht="14.25" customHeight="1" x14ac:dyDescent="0.3">
      <c r="A81" s="40">
        <v>79</v>
      </c>
      <c r="B81" s="183" t="s">
        <v>155</v>
      </c>
      <c r="C81" s="183" t="s">
        <v>160</v>
      </c>
      <c r="D81" s="183">
        <v>5000</v>
      </c>
      <c r="E81" s="272" t="s">
        <v>150</v>
      </c>
      <c r="F81" s="40">
        <v>5000</v>
      </c>
      <c r="G81" s="37" t="s">
        <v>150</v>
      </c>
    </row>
    <row r="82" spans="1:31" ht="14.25" customHeight="1" x14ac:dyDescent="0.3">
      <c r="A82" s="40">
        <v>80</v>
      </c>
      <c r="B82" s="183" t="s">
        <v>155</v>
      </c>
      <c r="C82" s="183" t="s">
        <v>495</v>
      </c>
      <c r="D82" s="183">
        <v>5000</v>
      </c>
      <c r="E82" s="272" t="s">
        <v>150</v>
      </c>
      <c r="F82" s="40">
        <v>5000</v>
      </c>
      <c r="G82" s="37" t="s">
        <v>150</v>
      </c>
    </row>
    <row r="83" spans="1:31" ht="14.25" customHeight="1" x14ac:dyDescent="0.3">
      <c r="A83" s="40">
        <v>81</v>
      </c>
      <c r="B83" s="183" t="s">
        <v>155</v>
      </c>
      <c r="C83" s="183" t="s">
        <v>496</v>
      </c>
      <c r="D83" s="183">
        <v>5000</v>
      </c>
      <c r="E83" s="272" t="s">
        <v>150</v>
      </c>
      <c r="F83" s="40">
        <v>5000</v>
      </c>
      <c r="G83" s="37" t="s">
        <v>150</v>
      </c>
    </row>
    <row r="84" spans="1:31" ht="14.25" customHeight="1" x14ac:dyDescent="0.3">
      <c r="A84" s="40">
        <v>82</v>
      </c>
      <c r="B84" s="183" t="s">
        <v>509</v>
      </c>
      <c r="C84" s="183" t="s">
        <v>482</v>
      </c>
      <c r="D84" s="183">
        <v>5000</v>
      </c>
      <c r="E84" s="272" t="s">
        <v>151</v>
      </c>
      <c r="F84" s="40">
        <v>5000</v>
      </c>
      <c r="G84" s="37" t="s">
        <v>151</v>
      </c>
    </row>
    <row r="85" spans="1:31" ht="14.25" customHeight="1" x14ac:dyDescent="0.3">
      <c r="A85" s="40">
        <v>83</v>
      </c>
      <c r="B85" s="183" t="s">
        <v>509</v>
      </c>
      <c r="C85" s="183" t="s">
        <v>154</v>
      </c>
      <c r="D85" s="183">
        <v>5000</v>
      </c>
      <c r="E85" s="272" t="s">
        <v>150</v>
      </c>
      <c r="F85" s="40">
        <v>5000</v>
      </c>
      <c r="G85" s="37" t="s">
        <v>150</v>
      </c>
    </row>
    <row r="86" spans="1:31" ht="14.25" customHeight="1" x14ac:dyDescent="0.3">
      <c r="A86" s="40">
        <v>84</v>
      </c>
      <c r="B86" s="183" t="s">
        <v>509</v>
      </c>
      <c r="C86" s="183" t="s">
        <v>486</v>
      </c>
      <c r="D86" s="183">
        <v>5000</v>
      </c>
      <c r="E86" s="272" t="s">
        <v>150</v>
      </c>
      <c r="F86" s="40">
        <v>5000</v>
      </c>
      <c r="G86" s="37" t="s">
        <v>150</v>
      </c>
    </row>
    <row r="87" spans="1:31" ht="14.25" customHeight="1" x14ac:dyDescent="0.3">
      <c r="A87" s="40">
        <v>85</v>
      </c>
      <c r="B87" s="183" t="s">
        <v>509</v>
      </c>
      <c r="C87" s="183" t="s">
        <v>490</v>
      </c>
      <c r="D87" s="183">
        <v>5000</v>
      </c>
      <c r="E87" s="272" t="s">
        <v>150</v>
      </c>
      <c r="F87" s="40">
        <v>5000</v>
      </c>
      <c r="G87" s="37" t="s">
        <v>150</v>
      </c>
    </row>
    <row r="88" spans="1:31" ht="14.25" customHeight="1" x14ac:dyDescent="0.3">
      <c r="A88" s="40">
        <v>86</v>
      </c>
      <c r="B88" s="183" t="s">
        <v>509</v>
      </c>
      <c r="C88" s="183" t="s">
        <v>431</v>
      </c>
      <c r="D88" s="183">
        <v>5000</v>
      </c>
      <c r="E88" s="272" t="s">
        <v>150</v>
      </c>
      <c r="F88" s="40">
        <v>5000</v>
      </c>
      <c r="G88" s="37" t="s">
        <v>150</v>
      </c>
    </row>
    <row r="89" spans="1:31" ht="14.25" customHeight="1" x14ac:dyDescent="0.3">
      <c r="A89" s="40">
        <v>87</v>
      </c>
      <c r="B89" s="183" t="s">
        <v>509</v>
      </c>
      <c r="C89" s="183" t="s">
        <v>160</v>
      </c>
      <c r="D89" s="183">
        <v>5000</v>
      </c>
      <c r="E89" s="272" t="s">
        <v>150</v>
      </c>
      <c r="F89" s="40">
        <v>5000</v>
      </c>
      <c r="G89" s="37" t="s">
        <v>150</v>
      </c>
    </row>
    <row r="90" spans="1:31" ht="14.25" customHeight="1" x14ac:dyDescent="0.3">
      <c r="A90" s="40">
        <v>88</v>
      </c>
      <c r="B90" s="183" t="s">
        <v>509</v>
      </c>
      <c r="C90" s="183" t="s">
        <v>495</v>
      </c>
      <c r="D90" s="183">
        <v>5000</v>
      </c>
      <c r="E90" s="272" t="s">
        <v>150</v>
      </c>
      <c r="F90" s="40">
        <v>5000</v>
      </c>
      <c r="G90" s="37" t="s">
        <v>150</v>
      </c>
    </row>
    <row r="91" spans="1:31" ht="14.25" customHeight="1" x14ac:dyDescent="0.3">
      <c r="A91" s="40">
        <v>89</v>
      </c>
      <c r="B91" s="183" t="s">
        <v>509</v>
      </c>
      <c r="C91" s="183" t="s">
        <v>496</v>
      </c>
      <c r="D91" s="183">
        <v>5000</v>
      </c>
      <c r="E91" s="272" t="s">
        <v>150</v>
      </c>
      <c r="F91" s="212">
        <v>5000</v>
      </c>
      <c r="G91" s="43" t="s">
        <v>150</v>
      </c>
    </row>
    <row r="92" spans="1:31" ht="14.25" customHeight="1" x14ac:dyDescent="0.3">
      <c r="K92" s="278"/>
      <c r="L92" s="278"/>
      <c r="M92" s="278"/>
      <c r="N92" s="278"/>
      <c r="O92" s="278"/>
      <c r="P92" s="278"/>
      <c r="Q92" s="278"/>
      <c r="R92" s="278"/>
      <c r="S92" s="278"/>
      <c r="T92" s="278"/>
      <c r="U92" s="278"/>
      <c r="V92" s="278"/>
      <c r="W92" s="278"/>
      <c r="X92" s="278"/>
      <c r="Y92" s="278"/>
      <c r="Z92" s="278"/>
      <c r="AA92" s="278"/>
      <c r="AB92" s="278"/>
      <c r="AC92" s="278"/>
      <c r="AD92" s="278"/>
      <c r="AE92" s="278"/>
    </row>
    <row r="93" spans="1:31" ht="14.25" customHeight="1" x14ac:dyDescent="0.3">
      <c r="A93" s="277"/>
      <c r="B93" s="277"/>
      <c r="C93" s="277"/>
      <c r="D93" s="277"/>
      <c r="E93" s="277"/>
      <c r="F93" s="277"/>
      <c r="G93" s="277"/>
      <c r="H93" s="277"/>
      <c r="I93" s="277"/>
    </row>
    <row r="94" spans="1:31" ht="35.25" customHeight="1" x14ac:dyDescent="0.3">
      <c r="A94" s="276" t="s">
        <v>750</v>
      </c>
      <c r="B94" s="277" t="s">
        <v>751</v>
      </c>
      <c r="C94" s="277"/>
      <c r="D94" s="277"/>
      <c r="E94" s="277"/>
      <c r="F94" s="277"/>
      <c r="G94" s="277"/>
      <c r="H94" s="277"/>
      <c r="I94" s="277"/>
    </row>
    <row r="95" spans="1:31" ht="23.25" customHeight="1" x14ac:dyDescent="0.3">
      <c r="A95" s="236" t="s">
        <v>473</v>
      </c>
      <c r="B95" s="269" t="s">
        <v>474</v>
      </c>
      <c r="C95" s="269" t="s">
        <v>475</v>
      </c>
      <c r="D95" s="269" t="s">
        <v>736</v>
      </c>
      <c r="E95" s="237" t="s">
        <v>737</v>
      </c>
      <c r="G95" s="277"/>
      <c r="H95" s="277"/>
      <c r="I95" s="277"/>
      <c r="J95" s="277"/>
      <c r="K95" s="279"/>
      <c r="L95" s="277"/>
      <c r="M95" s="277"/>
      <c r="N95" s="277"/>
      <c r="O95" s="277"/>
    </row>
    <row r="96" spans="1:31" ht="14.25" customHeight="1" x14ac:dyDescent="0.3">
      <c r="A96" s="40">
        <v>1</v>
      </c>
      <c r="B96" s="183" t="s">
        <v>481</v>
      </c>
      <c r="C96" s="183" t="s">
        <v>482</v>
      </c>
      <c r="D96" s="183">
        <v>0</v>
      </c>
      <c r="E96" s="37" t="s">
        <v>151</v>
      </c>
    </row>
    <row r="97" spans="1:11" ht="14.25" customHeight="1" x14ac:dyDescent="0.3">
      <c r="A97" s="40">
        <v>2</v>
      </c>
      <c r="B97" s="183" t="s">
        <v>481</v>
      </c>
      <c r="C97" s="183" t="s">
        <v>154</v>
      </c>
      <c r="D97" s="183">
        <v>0</v>
      </c>
      <c r="E97" s="37" t="s">
        <v>151</v>
      </c>
    </row>
    <row r="98" spans="1:11" ht="14.25" customHeight="1" x14ac:dyDescent="0.3">
      <c r="A98" s="40">
        <v>3</v>
      </c>
      <c r="B98" s="183" t="s">
        <v>481</v>
      </c>
      <c r="C98" s="183" t="s">
        <v>486</v>
      </c>
      <c r="D98" s="183">
        <v>0</v>
      </c>
      <c r="E98" s="37" t="s">
        <v>151</v>
      </c>
    </row>
    <row r="99" spans="1:11" ht="14.25" customHeight="1" x14ac:dyDescent="0.3">
      <c r="A99" s="40">
        <v>4</v>
      </c>
      <c r="B99" s="183" t="s">
        <v>481</v>
      </c>
      <c r="C99" s="183" t="s">
        <v>490</v>
      </c>
      <c r="D99" s="183">
        <v>0</v>
      </c>
      <c r="E99" s="37" t="s">
        <v>151</v>
      </c>
    </row>
    <row r="100" spans="1:11" ht="14.25" customHeight="1" x14ac:dyDescent="0.3">
      <c r="A100" s="40">
        <v>5</v>
      </c>
      <c r="B100" s="183" t="s">
        <v>481</v>
      </c>
      <c r="C100" s="183" t="s">
        <v>431</v>
      </c>
      <c r="D100" s="183">
        <v>0</v>
      </c>
      <c r="E100" s="37" t="s">
        <v>151</v>
      </c>
    </row>
    <row r="101" spans="1:11" ht="14.25" customHeight="1" x14ac:dyDescent="0.3">
      <c r="A101" s="40">
        <v>6</v>
      </c>
      <c r="B101" s="183" t="s">
        <v>481</v>
      </c>
      <c r="C101" s="183" t="s">
        <v>160</v>
      </c>
      <c r="D101" s="183">
        <v>0</v>
      </c>
      <c r="E101" s="37" t="s">
        <v>151</v>
      </c>
    </row>
    <row r="102" spans="1:11" ht="14.25" customHeight="1" x14ac:dyDescent="0.3">
      <c r="A102" s="40">
        <v>7</v>
      </c>
      <c r="B102" s="183" t="s">
        <v>481</v>
      </c>
      <c r="C102" s="183" t="s">
        <v>495</v>
      </c>
      <c r="D102" s="183">
        <v>0</v>
      </c>
      <c r="E102" s="37" t="s">
        <v>151</v>
      </c>
    </row>
    <row r="103" spans="1:11" ht="14.25" customHeight="1" x14ac:dyDescent="0.3">
      <c r="A103" s="40">
        <v>8</v>
      </c>
      <c r="B103" s="183" t="s">
        <v>481</v>
      </c>
      <c r="C103" s="183" t="s">
        <v>496</v>
      </c>
      <c r="D103" s="183">
        <v>0</v>
      </c>
      <c r="E103" s="37" t="s">
        <v>151</v>
      </c>
    </row>
    <row r="104" spans="1:11" ht="14.25" customHeight="1" x14ac:dyDescent="0.3">
      <c r="A104" s="40">
        <v>9</v>
      </c>
      <c r="B104" s="183" t="s">
        <v>497</v>
      </c>
      <c r="C104" s="183" t="s">
        <v>482</v>
      </c>
      <c r="D104" s="183">
        <v>2500</v>
      </c>
      <c r="E104" s="37" t="s">
        <v>151</v>
      </c>
    </row>
    <row r="105" spans="1:11" ht="14.25" customHeight="1" x14ac:dyDescent="0.3">
      <c r="A105" s="40">
        <v>10</v>
      </c>
      <c r="B105" s="183" t="s">
        <v>497</v>
      </c>
      <c r="C105" s="183" t="s">
        <v>154</v>
      </c>
      <c r="D105" s="183">
        <v>2500</v>
      </c>
      <c r="E105" s="37" t="s">
        <v>151</v>
      </c>
    </row>
    <row r="106" spans="1:11" ht="14.25" customHeight="1" x14ac:dyDescent="0.3">
      <c r="A106" s="40">
        <v>11</v>
      </c>
      <c r="B106" s="183" t="s">
        <v>497</v>
      </c>
      <c r="C106" s="183" t="s">
        <v>486</v>
      </c>
      <c r="D106" s="183">
        <v>2500</v>
      </c>
      <c r="E106" s="37" t="s">
        <v>151</v>
      </c>
    </row>
    <row r="107" spans="1:11" ht="14.25" customHeight="1" x14ac:dyDescent="0.3">
      <c r="A107" s="40">
        <v>12</v>
      </c>
      <c r="B107" s="183" t="s">
        <v>497</v>
      </c>
      <c r="C107" s="183" t="s">
        <v>490</v>
      </c>
      <c r="D107" s="183">
        <v>2500</v>
      </c>
      <c r="E107" s="37" t="s">
        <v>151</v>
      </c>
    </row>
    <row r="108" spans="1:11" ht="14.25" customHeight="1" x14ac:dyDescent="0.3">
      <c r="A108" s="40">
        <v>13</v>
      </c>
      <c r="B108" s="183" t="s">
        <v>497</v>
      </c>
      <c r="C108" s="183" t="s">
        <v>431</v>
      </c>
      <c r="D108" s="183">
        <v>2500</v>
      </c>
      <c r="E108" s="37" t="s">
        <v>151</v>
      </c>
      <c r="K108" s="120" t="s">
        <v>752</v>
      </c>
    </row>
    <row r="109" spans="1:11" ht="21.75" customHeight="1" x14ac:dyDescent="0.3">
      <c r="A109" s="40">
        <v>14</v>
      </c>
      <c r="B109" s="183" t="s">
        <v>497</v>
      </c>
      <c r="C109" s="183" t="s">
        <v>160</v>
      </c>
      <c r="D109" s="183">
        <v>2500</v>
      </c>
      <c r="E109" s="37" t="s">
        <v>150</v>
      </c>
    </row>
    <row r="110" spans="1:11" ht="308.25" customHeight="1" x14ac:dyDescent="0.3">
      <c r="A110" s="40">
        <v>15</v>
      </c>
      <c r="B110" s="183" t="s">
        <v>497</v>
      </c>
      <c r="C110" s="183" t="s">
        <v>495</v>
      </c>
      <c r="D110" s="183">
        <v>2500</v>
      </c>
      <c r="E110" s="37" t="s">
        <v>150</v>
      </c>
      <c r="K110" s="120" t="s">
        <v>753</v>
      </c>
    </row>
    <row r="111" spans="1:11" ht="14.25" customHeight="1" x14ac:dyDescent="0.3">
      <c r="A111" s="40">
        <v>16</v>
      </c>
      <c r="B111" s="183" t="s">
        <v>497</v>
      </c>
      <c r="C111" s="183" t="s">
        <v>496</v>
      </c>
      <c r="D111" s="183">
        <v>2500</v>
      </c>
      <c r="E111" s="37" t="s">
        <v>150</v>
      </c>
    </row>
    <row r="112" spans="1:11" ht="14.25" customHeight="1" x14ac:dyDescent="0.3">
      <c r="A112" s="40">
        <v>10</v>
      </c>
      <c r="B112" s="183" t="s">
        <v>497</v>
      </c>
      <c r="C112" s="183" t="s">
        <v>482</v>
      </c>
      <c r="D112" s="183">
        <v>3500</v>
      </c>
      <c r="E112" s="37" t="s">
        <v>151</v>
      </c>
      <c r="K112" s="120" t="s">
        <v>754</v>
      </c>
    </row>
    <row r="113" spans="1:11" ht="14.25" customHeight="1" x14ac:dyDescent="0.3">
      <c r="A113" s="40">
        <v>10</v>
      </c>
      <c r="B113" s="183" t="s">
        <v>497</v>
      </c>
      <c r="C113" s="183" t="s">
        <v>154</v>
      </c>
      <c r="D113" s="183">
        <v>3500</v>
      </c>
      <c r="E113" s="37" t="s">
        <v>151</v>
      </c>
    </row>
    <row r="114" spans="1:11" ht="14.25" customHeight="1" x14ac:dyDescent="0.3">
      <c r="A114" s="40">
        <v>11</v>
      </c>
      <c r="B114" s="183" t="s">
        <v>497</v>
      </c>
      <c r="C114" s="183" t="s">
        <v>486</v>
      </c>
      <c r="D114" s="183">
        <v>3500</v>
      </c>
      <c r="E114" s="37" t="s">
        <v>150</v>
      </c>
      <c r="K114" s="120" t="s">
        <v>754</v>
      </c>
    </row>
    <row r="115" spans="1:11" ht="14.25" customHeight="1" x14ac:dyDescent="0.3">
      <c r="A115" s="40">
        <v>12</v>
      </c>
      <c r="B115" s="183" t="s">
        <v>497</v>
      </c>
      <c r="C115" s="183" t="s">
        <v>490</v>
      </c>
      <c r="D115" s="183">
        <v>3500</v>
      </c>
      <c r="E115" s="37" t="s">
        <v>153</v>
      </c>
    </row>
    <row r="116" spans="1:11" ht="14.25" customHeight="1" x14ac:dyDescent="0.3">
      <c r="A116" s="40">
        <v>13</v>
      </c>
      <c r="B116" s="183" t="s">
        <v>497</v>
      </c>
      <c r="C116" s="183" t="s">
        <v>431</v>
      </c>
      <c r="D116" s="183">
        <v>3500</v>
      </c>
      <c r="E116" s="37" t="s">
        <v>150</v>
      </c>
      <c r="K116" s="120" t="s">
        <v>755</v>
      </c>
    </row>
    <row r="117" spans="1:11" ht="14.25" customHeight="1" x14ac:dyDescent="0.3">
      <c r="A117" s="40">
        <v>14</v>
      </c>
      <c r="B117" s="183" t="s">
        <v>497</v>
      </c>
      <c r="C117" s="183" t="s">
        <v>160</v>
      </c>
      <c r="D117" s="183">
        <v>3500</v>
      </c>
      <c r="E117" s="37" t="s">
        <v>150</v>
      </c>
    </row>
    <row r="118" spans="1:11" ht="14.25" customHeight="1" x14ac:dyDescent="0.3">
      <c r="A118" s="40">
        <v>15</v>
      </c>
      <c r="B118" s="183" t="s">
        <v>497</v>
      </c>
      <c r="C118" s="183" t="s">
        <v>495</v>
      </c>
      <c r="D118" s="183">
        <v>3500</v>
      </c>
      <c r="E118" s="37" t="s">
        <v>150</v>
      </c>
    </row>
    <row r="119" spans="1:11" ht="14.25" customHeight="1" x14ac:dyDescent="0.3">
      <c r="A119" s="40">
        <v>16</v>
      </c>
      <c r="B119" s="183" t="s">
        <v>497</v>
      </c>
      <c r="C119" s="183" t="s">
        <v>496</v>
      </c>
      <c r="D119" s="183">
        <v>3500</v>
      </c>
      <c r="E119" s="37" t="s">
        <v>150</v>
      </c>
    </row>
    <row r="120" spans="1:11" ht="14.25" customHeight="1" x14ac:dyDescent="0.3">
      <c r="A120" s="40">
        <v>17</v>
      </c>
      <c r="B120" s="183" t="s">
        <v>138</v>
      </c>
      <c r="C120" s="183" t="s">
        <v>482</v>
      </c>
      <c r="D120" s="183">
        <v>2500</v>
      </c>
      <c r="E120" s="37" t="s">
        <v>151</v>
      </c>
    </row>
    <row r="121" spans="1:11" ht="14.25" customHeight="1" x14ac:dyDescent="0.3">
      <c r="A121" s="40">
        <v>18</v>
      </c>
      <c r="B121" s="183" t="s">
        <v>138</v>
      </c>
      <c r="C121" s="183" t="s">
        <v>154</v>
      </c>
      <c r="D121" s="183">
        <v>2500</v>
      </c>
      <c r="E121" s="37" t="s">
        <v>151</v>
      </c>
    </row>
    <row r="122" spans="1:11" ht="14.25" customHeight="1" x14ac:dyDescent="0.3">
      <c r="A122" s="40">
        <v>19</v>
      </c>
      <c r="B122" s="183" t="s">
        <v>138</v>
      </c>
      <c r="C122" s="183" t="s">
        <v>486</v>
      </c>
      <c r="D122" s="183">
        <v>2500</v>
      </c>
      <c r="E122" s="37" t="s">
        <v>151</v>
      </c>
    </row>
    <row r="123" spans="1:11" ht="14.25" customHeight="1" x14ac:dyDescent="0.3">
      <c r="A123" s="40">
        <v>20</v>
      </c>
      <c r="B123" s="183" t="s">
        <v>138</v>
      </c>
      <c r="C123" s="183" t="s">
        <v>490</v>
      </c>
      <c r="D123" s="183">
        <v>2500</v>
      </c>
      <c r="E123" s="37" t="s">
        <v>151</v>
      </c>
    </row>
    <row r="124" spans="1:11" ht="14.25" customHeight="1" x14ac:dyDescent="0.3">
      <c r="A124" s="40">
        <v>21</v>
      </c>
      <c r="B124" s="183" t="s">
        <v>138</v>
      </c>
      <c r="C124" s="183" t="s">
        <v>431</v>
      </c>
      <c r="D124" s="183">
        <v>2500</v>
      </c>
      <c r="E124" s="37" t="s">
        <v>151</v>
      </c>
    </row>
    <row r="125" spans="1:11" ht="14.25" customHeight="1" x14ac:dyDescent="0.3">
      <c r="A125" s="40">
        <v>22</v>
      </c>
      <c r="B125" s="183" t="s">
        <v>138</v>
      </c>
      <c r="C125" s="183" t="s">
        <v>160</v>
      </c>
      <c r="D125" s="183">
        <v>2500</v>
      </c>
      <c r="E125" s="37" t="s">
        <v>150</v>
      </c>
    </row>
    <row r="126" spans="1:11" ht="14.25" customHeight="1" x14ac:dyDescent="0.3">
      <c r="A126" s="40">
        <v>23</v>
      </c>
      <c r="B126" s="183" t="s">
        <v>138</v>
      </c>
      <c r="C126" s="183" t="s">
        <v>495</v>
      </c>
      <c r="D126" s="183">
        <v>2500</v>
      </c>
      <c r="E126" s="37" t="s">
        <v>150</v>
      </c>
    </row>
    <row r="127" spans="1:11" ht="14.25" customHeight="1" x14ac:dyDescent="0.3">
      <c r="A127" s="40">
        <v>24</v>
      </c>
      <c r="B127" s="183" t="s">
        <v>138</v>
      </c>
      <c r="C127" s="183" t="s">
        <v>496</v>
      </c>
      <c r="D127" s="183">
        <v>2500</v>
      </c>
      <c r="E127" s="37" t="s">
        <v>150</v>
      </c>
    </row>
    <row r="128" spans="1:11" ht="14.25" customHeight="1" x14ac:dyDescent="0.3">
      <c r="A128" s="40">
        <v>17</v>
      </c>
      <c r="B128" s="183" t="s">
        <v>138</v>
      </c>
      <c r="C128" s="183" t="s">
        <v>482</v>
      </c>
      <c r="D128" s="183">
        <v>3500</v>
      </c>
      <c r="E128" s="37" t="s">
        <v>151</v>
      </c>
    </row>
    <row r="129" spans="1:11" ht="14.25" customHeight="1" x14ac:dyDescent="0.3">
      <c r="A129" s="40">
        <v>18</v>
      </c>
      <c r="B129" s="183" t="s">
        <v>138</v>
      </c>
      <c r="C129" s="183" t="s">
        <v>154</v>
      </c>
      <c r="D129" s="183">
        <v>3500</v>
      </c>
      <c r="E129" s="37" t="s">
        <v>151</v>
      </c>
    </row>
    <row r="130" spans="1:11" ht="14.25" customHeight="1" x14ac:dyDescent="0.3">
      <c r="A130" s="40">
        <v>19</v>
      </c>
      <c r="B130" s="183" t="s">
        <v>138</v>
      </c>
      <c r="C130" s="183" t="s">
        <v>486</v>
      </c>
      <c r="D130" s="183">
        <v>3500</v>
      </c>
      <c r="E130" s="37" t="s">
        <v>150</v>
      </c>
    </row>
    <row r="131" spans="1:11" ht="14.25" customHeight="1" x14ac:dyDescent="0.3">
      <c r="A131" s="40">
        <v>20</v>
      </c>
      <c r="B131" s="183" t="s">
        <v>138</v>
      </c>
      <c r="C131" s="183" t="s">
        <v>490</v>
      </c>
      <c r="D131" s="183">
        <v>3500</v>
      </c>
      <c r="E131" s="37" t="s">
        <v>153</v>
      </c>
    </row>
    <row r="132" spans="1:11" ht="14.25" customHeight="1" x14ac:dyDescent="0.3">
      <c r="A132" s="40">
        <v>21</v>
      </c>
      <c r="B132" s="183" t="s">
        <v>138</v>
      </c>
      <c r="C132" s="183" t="s">
        <v>431</v>
      </c>
      <c r="D132" s="183">
        <v>3500</v>
      </c>
      <c r="E132" s="37" t="s">
        <v>150</v>
      </c>
    </row>
    <row r="133" spans="1:11" ht="14.25" customHeight="1" x14ac:dyDescent="0.3">
      <c r="A133" s="40">
        <v>22</v>
      </c>
      <c r="B133" s="183" t="s">
        <v>138</v>
      </c>
      <c r="C133" s="183" t="s">
        <v>160</v>
      </c>
      <c r="D133" s="183">
        <v>3500</v>
      </c>
      <c r="E133" s="37" t="s">
        <v>150</v>
      </c>
    </row>
    <row r="134" spans="1:11" ht="14.25" customHeight="1" x14ac:dyDescent="0.3">
      <c r="A134" s="40">
        <v>23</v>
      </c>
      <c r="B134" s="183" t="s">
        <v>138</v>
      </c>
      <c r="C134" s="183" t="s">
        <v>495</v>
      </c>
      <c r="D134" s="183">
        <v>3500</v>
      </c>
      <c r="E134" s="37" t="s">
        <v>150</v>
      </c>
    </row>
    <row r="135" spans="1:11" ht="14.25" customHeight="1" x14ac:dyDescent="0.3">
      <c r="A135" s="40">
        <v>24</v>
      </c>
      <c r="B135" s="183" t="s">
        <v>138</v>
      </c>
      <c r="C135" s="183" t="s">
        <v>496</v>
      </c>
      <c r="D135" s="183">
        <v>3500</v>
      </c>
      <c r="E135" s="37" t="s">
        <v>150</v>
      </c>
    </row>
    <row r="136" spans="1:11" ht="14.25" customHeight="1" x14ac:dyDescent="0.3">
      <c r="A136" s="40">
        <v>17</v>
      </c>
      <c r="B136" s="183" t="s">
        <v>155</v>
      </c>
      <c r="C136" s="183" t="s">
        <v>482</v>
      </c>
      <c r="D136" s="183">
        <v>2500</v>
      </c>
      <c r="E136" s="37" t="s">
        <v>151</v>
      </c>
    </row>
    <row r="137" spans="1:11" ht="14.25" customHeight="1" x14ac:dyDescent="0.3">
      <c r="A137" s="40">
        <v>18</v>
      </c>
      <c r="B137" s="183" t="s">
        <v>155</v>
      </c>
      <c r="C137" s="183" t="s">
        <v>154</v>
      </c>
      <c r="D137" s="183">
        <v>2500</v>
      </c>
      <c r="E137" s="37" t="s">
        <v>151</v>
      </c>
    </row>
    <row r="138" spans="1:11" ht="14.25" customHeight="1" x14ac:dyDescent="0.3">
      <c r="A138" s="40">
        <v>19</v>
      </c>
      <c r="B138" s="183" t="s">
        <v>155</v>
      </c>
      <c r="C138" s="183" t="s">
        <v>486</v>
      </c>
      <c r="D138" s="183">
        <v>2500</v>
      </c>
      <c r="E138" s="37" t="s">
        <v>151</v>
      </c>
    </row>
    <row r="139" spans="1:11" ht="14.25" customHeight="1" x14ac:dyDescent="0.3">
      <c r="A139" s="40">
        <v>20</v>
      </c>
      <c r="B139" s="183" t="s">
        <v>155</v>
      </c>
      <c r="C139" s="183" t="s">
        <v>490</v>
      </c>
      <c r="D139" s="183">
        <v>2500</v>
      </c>
      <c r="E139" s="37" t="s">
        <v>151</v>
      </c>
      <c r="K139" s="217"/>
    </row>
    <row r="140" spans="1:11" ht="14.25" customHeight="1" x14ac:dyDescent="0.3">
      <c r="A140" s="40">
        <v>21</v>
      </c>
      <c r="B140" s="183" t="s">
        <v>155</v>
      </c>
      <c r="C140" s="183" t="s">
        <v>431</v>
      </c>
      <c r="D140" s="183">
        <v>2500</v>
      </c>
      <c r="E140" s="37" t="s">
        <v>151</v>
      </c>
      <c r="K140" s="217"/>
    </row>
    <row r="141" spans="1:11" ht="14.25" customHeight="1" x14ac:dyDescent="0.3">
      <c r="A141" s="40">
        <v>22</v>
      </c>
      <c r="B141" s="183" t="s">
        <v>155</v>
      </c>
      <c r="C141" s="183" t="s">
        <v>160</v>
      </c>
      <c r="D141" s="183">
        <v>2500</v>
      </c>
      <c r="E141" s="37" t="s">
        <v>150</v>
      </c>
    </row>
    <row r="142" spans="1:11" ht="14.25" customHeight="1" x14ac:dyDescent="0.3">
      <c r="A142" s="40">
        <v>23</v>
      </c>
      <c r="B142" s="183" t="s">
        <v>155</v>
      </c>
      <c r="C142" s="183" t="s">
        <v>495</v>
      </c>
      <c r="D142" s="183">
        <v>2500</v>
      </c>
      <c r="E142" s="37" t="s">
        <v>150</v>
      </c>
    </row>
    <row r="143" spans="1:11" ht="14.25" customHeight="1" x14ac:dyDescent="0.3">
      <c r="A143" s="40">
        <v>24</v>
      </c>
      <c r="B143" s="183" t="s">
        <v>155</v>
      </c>
      <c r="C143" s="183" t="s">
        <v>496</v>
      </c>
      <c r="D143" s="183">
        <v>2500</v>
      </c>
      <c r="E143" s="37" t="s">
        <v>150</v>
      </c>
    </row>
    <row r="144" spans="1:11" ht="14.25" customHeight="1" x14ac:dyDescent="0.3">
      <c r="A144" s="40">
        <v>25</v>
      </c>
      <c r="B144" s="183" t="s">
        <v>155</v>
      </c>
      <c r="C144" s="183" t="s">
        <v>482</v>
      </c>
      <c r="D144" s="183">
        <v>3500</v>
      </c>
      <c r="E144" s="37" t="s">
        <v>151</v>
      </c>
    </row>
    <row r="145" spans="1:5" ht="14.25" customHeight="1" x14ac:dyDescent="0.3">
      <c r="A145" s="40">
        <v>26</v>
      </c>
      <c r="B145" s="183" t="s">
        <v>155</v>
      </c>
      <c r="C145" s="183" t="s">
        <v>154</v>
      </c>
      <c r="D145" s="183">
        <v>3500</v>
      </c>
      <c r="E145" s="37" t="s">
        <v>151</v>
      </c>
    </row>
    <row r="146" spans="1:5" ht="14.25" customHeight="1" x14ac:dyDescent="0.3">
      <c r="A146" s="40">
        <v>27</v>
      </c>
      <c r="B146" s="183" t="s">
        <v>155</v>
      </c>
      <c r="C146" s="183" t="s">
        <v>486</v>
      </c>
      <c r="D146" s="183">
        <v>3500</v>
      </c>
      <c r="E146" s="37" t="s">
        <v>150</v>
      </c>
    </row>
    <row r="147" spans="1:5" ht="14.25" customHeight="1" x14ac:dyDescent="0.3">
      <c r="A147" s="40">
        <v>28</v>
      </c>
      <c r="B147" s="183" t="s">
        <v>155</v>
      </c>
      <c r="C147" s="183" t="s">
        <v>490</v>
      </c>
      <c r="D147" s="183">
        <v>3500</v>
      </c>
      <c r="E147" s="37" t="s">
        <v>150</v>
      </c>
    </row>
    <row r="148" spans="1:5" ht="14.25" customHeight="1" x14ac:dyDescent="0.3">
      <c r="A148" s="40">
        <v>29</v>
      </c>
      <c r="B148" s="183" t="s">
        <v>155</v>
      </c>
      <c r="C148" s="183" t="s">
        <v>431</v>
      </c>
      <c r="D148" s="183">
        <v>3500</v>
      </c>
      <c r="E148" s="37" t="s">
        <v>150</v>
      </c>
    </row>
    <row r="149" spans="1:5" ht="14.25" customHeight="1" x14ac:dyDescent="0.3">
      <c r="A149" s="40">
        <v>30</v>
      </c>
      <c r="B149" s="183" t="s">
        <v>155</v>
      </c>
      <c r="C149" s="183" t="s">
        <v>160</v>
      </c>
      <c r="D149" s="183">
        <v>3500</v>
      </c>
      <c r="E149" s="37" t="s">
        <v>150</v>
      </c>
    </row>
    <row r="150" spans="1:5" ht="14.25" customHeight="1" x14ac:dyDescent="0.3">
      <c r="A150" s="40">
        <v>31</v>
      </c>
      <c r="B150" s="183" t="s">
        <v>155</v>
      </c>
      <c r="C150" s="183" t="s">
        <v>495</v>
      </c>
      <c r="D150" s="183">
        <v>3500</v>
      </c>
      <c r="E150" s="37" t="s">
        <v>150</v>
      </c>
    </row>
    <row r="151" spans="1:5" ht="14.25" customHeight="1" x14ac:dyDescent="0.3">
      <c r="A151" s="40">
        <v>32</v>
      </c>
      <c r="B151" s="183" t="s">
        <v>155</v>
      </c>
      <c r="C151" s="183" t="s">
        <v>496</v>
      </c>
      <c r="D151" s="183">
        <v>3500</v>
      </c>
      <c r="E151" s="37" t="s">
        <v>150</v>
      </c>
    </row>
    <row r="152" spans="1:5" ht="14.25" customHeight="1" x14ac:dyDescent="0.3">
      <c r="A152" s="40">
        <v>33</v>
      </c>
      <c r="B152" s="183" t="s">
        <v>509</v>
      </c>
      <c r="C152" s="183" t="s">
        <v>482</v>
      </c>
      <c r="D152" s="183">
        <v>10000</v>
      </c>
      <c r="E152" s="37" t="s">
        <v>151</v>
      </c>
    </row>
    <row r="153" spans="1:5" ht="14.25" customHeight="1" x14ac:dyDescent="0.3">
      <c r="A153" s="40">
        <v>34</v>
      </c>
      <c r="B153" s="183" t="s">
        <v>509</v>
      </c>
      <c r="C153" s="183" t="s">
        <v>154</v>
      </c>
      <c r="D153" s="183">
        <v>10000</v>
      </c>
      <c r="E153" s="37" t="s">
        <v>151</v>
      </c>
    </row>
    <row r="154" spans="1:5" ht="14.25" customHeight="1" x14ac:dyDescent="0.3">
      <c r="A154" s="40">
        <v>35</v>
      </c>
      <c r="B154" s="183" t="s">
        <v>509</v>
      </c>
      <c r="C154" s="183" t="s">
        <v>486</v>
      </c>
      <c r="D154" s="183">
        <v>10000</v>
      </c>
      <c r="E154" s="37" t="s">
        <v>150</v>
      </c>
    </row>
    <row r="155" spans="1:5" ht="14.25" customHeight="1" x14ac:dyDescent="0.3">
      <c r="A155" s="40">
        <v>36</v>
      </c>
      <c r="B155" s="183" t="s">
        <v>509</v>
      </c>
      <c r="C155" s="183" t="s">
        <v>490</v>
      </c>
      <c r="D155" s="183">
        <v>10000</v>
      </c>
      <c r="E155" s="37" t="s">
        <v>150</v>
      </c>
    </row>
    <row r="156" spans="1:5" ht="14.25" customHeight="1" x14ac:dyDescent="0.3">
      <c r="A156" s="40">
        <v>37</v>
      </c>
      <c r="B156" s="183" t="s">
        <v>509</v>
      </c>
      <c r="C156" s="183" t="s">
        <v>431</v>
      </c>
      <c r="D156" s="183">
        <v>10000</v>
      </c>
      <c r="E156" s="37" t="s">
        <v>150</v>
      </c>
    </row>
    <row r="157" spans="1:5" ht="14.25" customHeight="1" x14ac:dyDescent="0.3">
      <c r="A157" s="40">
        <v>38</v>
      </c>
      <c r="B157" s="183" t="s">
        <v>509</v>
      </c>
      <c r="C157" s="183" t="s">
        <v>160</v>
      </c>
      <c r="D157" s="183">
        <v>10000</v>
      </c>
      <c r="E157" s="37" t="s">
        <v>150</v>
      </c>
    </row>
    <row r="158" spans="1:5" ht="14.25" customHeight="1" x14ac:dyDescent="0.3">
      <c r="A158" s="40">
        <v>39</v>
      </c>
      <c r="B158" s="183" t="s">
        <v>509</v>
      </c>
      <c r="C158" s="183" t="s">
        <v>495</v>
      </c>
      <c r="D158" s="183">
        <v>10000</v>
      </c>
      <c r="E158" s="37" t="s">
        <v>150</v>
      </c>
    </row>
    <row r="159" spans="1:5" ht="14.25" customHeight="1" x14ac:dyDescent="0.3">
      <c r="A159" s="40">
        <v>40</v>
      </c>
      <c r="B159" s="183" t="s">
        <v>509</v>
      </c>
      <c r="C159" s="183" t="s">
        <v>496</v>
      </c>
      <c r="D159" s="183">
        <v>10000</v>
      </c>
      <c r="E159" s="37" t="s">
        <v>150</v>
      </c>
    </row>
    <row r="160" spans="1:5" ht="14.25" customHeight="1" x14ac:dyDescent="0.3"/>
    <row r="161" spans="1:5" ht="14.25" customHeight="1" x14ac:dyDescent="0.3"/>
    <row r="162" spans="1:5" ht="14.25" customHeight="1" x14ac:dyDescent="0.3">
      <c r="A162" s="25" t="s">
        <v>756</v>
      </c>
    </row>
    <row r="163" spans="1:5" ht="14.25" customHeight="1" x14ac:dyDescent="0.3">
      <c r="A163" s="175" t="s">
        <v>473</v>
      </c>
      <c r="B163" s="176" t="s">
        <v>474</v>
      </c>
      <c r="C163" s="176" t="s">
        <v>475</v>
      </c>
      <c r="D163" s="280" t="s">
        <v>757</v>
      </c>
      <c r="E163" s="281" t="s">
        <v>758</v>
      </c>
    </row>
    <row r="164" spans="1:5" ht="14.25" customHeight="1" x14ac:dyDescent="0.3">
      <c r="A164" s="178">
        <v>1</v>
      </c>
      <c r="B164" s="179" t="s">
        <v>481</v>
      </c>
      <c r="C164" s="179" t="s">
        <v>482</v>
      </c>
      <c r="D164" s="179">
        <v>0</v>
      </c>
      <c r="E164" s="180">
        <v>0</v>
      </c>
    </row>
    <row r="165" spans="1:5" ht="14.25" customHeight="1" x14ac:dyDescent="0.3">
      <c r="A165" s="40">
        <v>2</v>
      </c>
      <c r="B165" s="183" t="s">
        <v>481</v>
      </c>
      <c r="C165" s="183" t="s">
        <v>154</v>
      </c>
      <c r="D165" s="183">
        <v>0</v>
      </c>
      <c r="E165" s="37">
        <v>0</v>
      </c>
    </row>
    <row r="166" spans="1:5" ht="14.25" customHeight="1" x14ac:dyDescent="0.3">
      <c r="A166" s="40">
        <v>3</v>
      </c>
      <c r="B166" s="183" t="s">
        <v>481</v>
      </c>
      <c r="C166" s="183" t="s">
        <v>486</v>
      </c>
      <c r="D166" s="183">
        <v>0</v>
      </c>
      <c r="E166" s="37">
        <v>0</v>
      </c>
    </row>
    <row r="167" spans="1:5" ht="14.25" customHeight="1" x14ac:dyDescent="0.3">
      <c r="A167" s="40">
        <v>4</v>
      </c>
      <c r="B167" s="183" t="s">
        <v>481</v>
      </c>
      <c r="C167" s="183" t="s">
        <v>490</v>
      </c>
      <c r="D167" s="183">
        <v>0</v>
      </c>
      <c r="E167" s="37">
        <v>0</v>
      </c>
    </row>
    <row r="168" spans="1:5" ht="14.25" customHeight="1" x14ac:dyDescent="0.3">
      <c r="A168" s="40">
        <v>5</v>
      </c>
      <c r="B168" s="183" t="s">
        <v>481</v>
      </c>
      <c r="C168" s="183" t="s">
        <v>431</v>
      </c>
      <c r="D168" s="183">
        <v>0</v>
      </c>
      <c r="E168" s="37">
        <v>0</v>
      </c>
    </row>
    <row r="169" spans="1:5" ht="14.25" customHeight="1" x14ac:dyDescent="0.3">
      <c r="A169" s="40">
        <v>6</v>
      </c>
      <c r="B169" s="183" t="s">
        <v>481</v>
      </c>
      <c r="C169" s="183" t="s">
        <v>160</v>
      </c>
      <c r="D169" s="183">
        <v>0</v>
      </c>
      <c r="E169" s="37">
        <v>0</v>
      </c>
    </row>
    <row r="170" spans="1:5" ht="14.25" customHeight="1" x14ac:dyDescent="0.3">
      <c r="A170" s="40">
        <v>7</v>
      </c>
      <c r="B170" s="183" t="s">
        <v>481</v>
      </c>
      <c r="C170" s="183" t="s">
        <v>495</v>
      </c>
      <c r="D170" s="183">
        <v>0</v>
      </c>
      <c r="E170" s="37">
        <v>0</v>
      </c>
    </row>
    <row r="171" spans="1:5" ht="14.25" customHeight="1" x14ac:dyDescent="0.3">
      <c r="A171" s="40">
        <v>8</v>
      </c>
      <c r="B171" s="183" t="s">
        <v>481</v>
      </c>
      <c r="C171" s="183" t="s">
        <v>496</v>
      </c>
      <c r="D171" s="183">
        <v>0</v>
      </c>
      <c r="E171" s="37">
        <v>0</v>
      </c>
    </row>
    <row r="172" spans="1:5" ht="14.25" customHeight="1" x14ac:dyDescent="0.3">
      <c r="A172" s="40">
        <v>9</v>
      </c>
      <c r="B172" s="183" t="s">
        <v>497</v>
      </c>
      <c r="C172" s="183" t="s">
        <v>482</v>
      </c>
      <c r="D172" s="183">
        <v>0</v>
      </c>
      <c r="E172" s="37">
        <v>0</v>
      </c>
    </row>
    <row r="173" spans="1:5" ht="14.25" customHeight="1" x14ac:dyDescent="0.3">
      <c r="A173" s="40">
        <v>10</v>
      </c>
      <c r="B173" s="183" t="s">
        <v>497</v>
      </c>
      <c r="C173" s="183" t="s">
        <v>154</v>
      </c>
      <c r="D173" s="183">
        <v>0</v>
      </c>
      <c r="E173" s="37">
        <v>0</v>
      </c>
    </row>
    <row r="174" spans="1:5" ht="14.25" customHeight="1" x14ac:dyDescent="0.3">
      <c r="A174" s="40">
        <v>11</v>
      </c>
      <c r="B174" s="183" t="s">
        <v>497</v>
      </c>
      <c r="C174" s="183" t="s">
        <v>486</v>
      </c>
      <c r="D174" s="183">
        <v>1500</v>
      </c>
      <c r="E174" s="37">
        <v>60</v>
      </c>
    </row>
    <row r="175" spans="1:5" ht="14.25" customHeight="1" x14ac:dyDescent="0.3">
      <c r="A175" s="40">
        <v>12</v>
      </c>
      <c r="B175" s="183" t="s">
        <v>497</v>
      </c>
      <c r="C175" s="183" t="s">
        <v>490</v>
      </c>
      <c r="D175" s="183">
        <v>1500</v>
      </c>
      <c r="E175" s="37">
        <v>60</v>
      </c>
    </row>
    <row r="176" spans="1:5" ht="14.25" customHeight="1" x14ac:dyDescent="0.3">
      <c r="A176" s="40">
        <v>13</v>
      </c>
      <c r="B176" s="183" t="s">
        <v>497</v>
      </c>
      <c r="C176" s="183" t="s">
        <v>431</v>
      </c>
      <c r="D176" s="183">
        <v>1500</v>
      </c>
      <c r="E176" s="37">
        <v>60</v>
      </c>
    </row>
    <row r="177" spans="1:5" ht="14.25" customHeight="1" x14ac:dyDescent="0.3">
      <c r="A177" s="40">
        <v>14</v>
      </c>
      <c r="B177" s="183" t="s">
        <v>497</v>
      </c>
      <c r="C177" s="183" t="s">
        <v>160</v>
      </c>
      <c r="D177" s="183">
        <v>2000</v>
      </c>
      <c r="E177" s="37">
        <v>90</v>
      </c>
    </row>
    <row r="178" spans="1:5" ht="14.25" customHeight="1" x14ac:dyDescent="0.3">
      <c r="A178" s="40">
        <v>15</v>
      </c>
      <c r="B178" s="183" t="s">
        <v>497</v>
      </c>
      <c r="C178" s="183" t="s">
        <v>495</v>
      </c>
      <c r="D178" s="183">
        <v>2000</v>
      </c>
      <c r="E178" s="37">
        <v>90</v>
      </c>
    </row>
    <row r="179" spans="1:5" ht="14.25" customHeight="1" x14ac:dyDescent="0.3">
      <c r="A179" s="40">
        <v>16</v>
      </c>
      <c r="B179" s="183" t="s">
        <v>497</v>
      </c>
      <c r="C179" s="183" t="s">
        <v>496</v>
      </c>
      <c r="D179" s="183">
        <v>2000</v>
      </c>
      <c r="E179" s="37">
        <v>90</v>
      </c>
    </row>
    <row r="180" spans="1:5" ht="14.25" customHeight="1" x14ac:dyDescent="0.3">
      <c r="A180" s="40">
        <v>17</v>
      </c>
      <c r="B180" s="183" t="s">
        <v>138</v>
      </c>
      <c r="C180" s="183" t="s">
        <v>482</v>
      </c>
      <c r="D180" s="183">
        <v>0</v>
      </c>
      <c r="E180" s="37">
        <v>0</v>
      </c>
    </row>
    <row r="181" spans="1:5" ht="14.25" customHeight="1" x14ac:dyDescent="0.3">
      <c r="A181" s="40">
        <v>18</v>
      </c>
      <c r="B181" s="183" t="s">
        <v>138</v>
      </c>
      <c r="C181" s="183" t="s">
        <v>154</v>
      </c>
      <c r="D181" s="183">
        <v>0</v>
      </c>
      <c r="E181" s="37">
        <v>0</v>
      </c>
    </row>
    <row r="182" spans="1:5" ht="14.25" customHeight="1" x14ac:dyDescent="0.3">
      <c r="A182" s="40">
        <v>19</v>
      </c>
      <c r="B182" s="183" t="s">
        <v>138</v>
      </c>
      <c r="C182" s="183" t="s">
        <v>486</v>
      </c>
      <c r="D182" s="183">
        <v>1500</v>
      </c>
      <c r="E182" s="37">
        <v>60</v>
      </c>
    </row>
    <row r="183" spans="1:5" ht="14.25" customHeight="1" x14ac:dyDescent="0.3">
      <c r="A183" s="40">
        <v>20</v>
      </c>
      <c r="B183" s="183" t="s">
        <v>138</v>
      </c>
      <c r="C183" s="183" t="s">
        <v>490</v>
      </c>
      <c r="D183" s="183">
        <v>1500</v>
      </c>
      <c r="E183" s="37">
        <v>60</v>
      </c>
    </row>
    <row r="184" spans="1:5" ht="14.25" customHeight="1" x14ac:dyDescent="0.3">
      <c r="A184" s="40">
        <v>21</v>
      </c>
      <c r="B184" s="183" t="s">
        <v>138</v>
      </c>
      <c r="C184" s="183" t="s">
        <v>431</v>
      </c>
      <c r="D184" s="183">
        <v>1500</v>
      </c>
      <c r="E184" s="37">
        <v>60</v>
      </c>
    </row>
    <row r="185" spans="1:5" ht="14.25" customHeight="1" x14ac:dyDescent="0.3">
      <c r="A185" s="40">
        <v>22</v>
      </c>
      <c r="B185" s="183" t="s">
        <v>138</v>
      </c>
      <c r="C185" s="183" t="s">
        <v>160</v>
      </c>
      <c r="D185" s="183">
        <v>2000</v>
      </c>
      <c r="E185" s="37">
        <v>90</v>
      </c>
    </row>
    <row r="186" spans="1:5" ht="14.25" customHeight="1" x14ac:dyDescent="0.3">
      <c r="A186" s="40">
        <v>23</v>
      </c>
      <c r="B186" s="183" t="s">
        <v>138</v>
      </c>
      <c r="C186" s="183" t="s">
        <v>495</v>
      </c>
      <c r="D186" s="183">
        <v>2000</v>
      </c>
      <c r="E186" s="37">
        <v>90</v>
      </c>
    </row>
    <row r="187" spans="1:5" ht="14.25" customHeight="1" x14ac:dyDescent="0.3">
      <c r="A187" s="40">
        <v>24</v>
      </c>
      <c r="B187" s="183" t="s">
        <v>138</v>
      </c>
      <c r="C187" s="183" t="s">
        <v>496</v>
      </c>
      <c r="D187" s="183">
        <v>2000</v>
      </c>
      <c r="E187" s="37">
        <v>90</v>
      </c>
    </row>
    <row r="188" spans="1:5" ht="14.25" customHeight="1" x14ac:dyDescent="0.3">
      <c r="A188" s="40">
        <v>17</v>
      </c>
      <c r="B188" s="183" t="s">
        <v>155</v>
      </c>
      <c r="C188" s="183" t="s">
        <v>482</v>
      </c>
      <c r="D188" s="183">
        <v>0</v>
      </c>
      <c r="E188" s="37">
        <v>0</v>
      </c>
    </row>
    <row r="189" spans="1:5" ht="14.25" customHeight="1" x14ac:dyDescent="0.3">
      <c r="A189" s="40">
        <v>18</v>
      </c>
      <c r="B189" s="183" t="s">
        <v>155</v>
      </c>
      <c r="C189" s="183" t="s">
        <v>154</v>
      </c>
      <c r="D189" s="183">
        <v>0</v>
      </c>
      <c r="E189" s="37">
        <v>0</v>
      </c>
    </row>
    <row r="190" spans="1:5" ht="14.25" customHeight="1" x14ac:dyDescent="0.3">
      <c r="A190" s="40">
        <v>19</v>
      </c>
      <c r="B190" s="183" t="s">
        <v>155</v>
      </c>
      <c r="C190" s="183" t="s">
        <v>486</v>
      </c>
      <c r="D190" s="183">
        <v>1500</v>
      </c>
      <c r="E190" s="37">
        <v>60</v>
      </c>
    </row>
    <row r="191" spans="1:5" ht="14.25" customHeight="1" x14ac:dyDescent="0.3">
      <c r="A191" s="40">
        <v>20</v>
      </c>
      <c r="B191" s="183" t="s">
        <v>155</v>
      </c>
      <c r="C191" s="183" t="s">
        <v>490</v>
      </c>
      <c r="D191" s="183">
        <v>1500</v>
      </c>
      <c r="E191" s="37">
        <v>60</v>
      </c>
    </row>
    <row r="192" spans="1:5" ht="14.25" customHeight="1" x14ac:dyDescent="0.3">
      <c r="A192" s="40">
        <v>21</v>
      </c>
      <c r="B192" s="183" t="s">
        <v>155</v>
      </c>
      <c r="C192" s="183" t="s">
        <v>431</v>
      </c>
      <c r="D192" s="183">
        <v>1500</v>
      </c>
      <c r="E192" s="37">
        <v>60</v>
      </c>
    </row>
    <row r="193" spans="1:5" ht="14.25" customHeight="1" x14ac:dyDescent="0.3">
      <c r="A193" s="40">
        <v>22</v>
      </c>
      <c r="B193" s="183" t="s">
        <v>155</v>
      </c>
      <c r="C193" s="183" t="s">
        <v>160</v>
      </c>
      <c r="D193" s="183">
        <v>2000</v>
      </c>
      <c r="E193" s="37">
        <v>90</v>
      </c>
    </row>
    <row r="194" spans="1:5" ht="14.25" customHeight="1" x14ac:dyDescent="0.3">
      <c r="A194" s="40">
        <v>23</v>
      </c>
      <c r="B194" s="183" t="s">
        <v>155</v>
      </c>
      <c r="C194" s="183" t="s">
        <v>495</v>
      </c>
      <c r="D194" s="183">
        <v>2000</v>
      </c>
      <c r="E194" s="37">
        <v>90</v>
      </c>
    </row>
    <row r="195" spans="1:5" ht="14.25" customHeight="1" x14ac:dyDescent="0.3">
      <c r="A195" s="40">
        <v>24</v>
      </c>
      <c r="B195" s="183" t="s">
        <v>155</v>
      </c>
      <c r="C195" s="183" t="s">
        <v>496</v>
      </c>
      <c r="D195" s="183">
        <v>2000</v>
      </c>
      <c r="E195" s="37">
        <v>90</v>
      </c>
    </row>
    <row r="196" spans="1:5" ht="14.25" customHeight="1" x14ac:dyDescent="0.3">
      <c r="A196" s="40">
        <v>33</v>
      </c>
      <c r="B196" s="183" t="s">
        <v>509</v>
      </c>
      <c r="C196" s="183" t="s">
        <v>482</v>
      </c>
      <c r="D196" s="183">
        <v>0</v>
      </c>
      <c r="E196" s="37">
        <v>0</v>
      </c>
    </row>
    <row r="197" spans="1:5" ht="14.25" customHeight="1" x14ac:dyDescent="0.3">
      <c r="A197" s="40">
        <v>34</v>
      </c>
      <c r="B197" s="183" t="s">
        <v>509</v>
      </c>
      <c r="C197" s="183" t="s">
        <v>154</v>
      </c>
      <c r="D197" s="183">
        <v>0</v>
      </c>
      <c r="E197" s="37">
        <v>0</v>
      </c>
    </row>
    <row r="198" spans="1:5" ht="14.25" customHeight="1" x14ac:dyDescent="0.3">
      <c r="A198" s="40">
        <v>35</v>
      </c>
      <c r="B198" s="183" t="s">
        <v>509</v>
      </c>
      <c r="C198" s="183" t="s">
        <v>486</v>
      </c>
      <c r="D198" s="183">
        <v>2000</v>
      </c>
      <c r="E198" s="37">
        <v>60</v>
      </c>
    </row>
    <row r="199" spans="1:5" ht="14.25" customHeight="1" x14ac:dyDescent="0.3">
      <c r="A199" s="40">
        <v>36</v>
      </c>
      <c r="B199" s="183" t="s">
        <v>509</v>
      </c>
      <c r="C199" s="183" t="s">
        <v>490</v>
      </c>
      <c r="D199" s="183">
        <v>2000</v>
      </c>
      <c r="E199" s="37">
        <v>60</v>
      </c>
    </row>
    <row r="200" spans="1:5" ht="14.25" customHeight="1" x14ac:dyDescent="0.3">
      <c r="A200" s="40">
        <v>37</v>
      </c>
      <c r="B200" s="183" t="s">
        <v>509</v>
      </c>
      <c r="C200" s="183" t="s">
        <v>431</v>
      </c>
      <c r="D200" s="183">
        <v>2000</v>
      </c>
      <c r="E200" s="37">
        <v>60</v>
      </c>
    </row>
    <row r="201" spans="1:5" ht="14.25" customHeight="1" x14ac:dyDescent="0.3">
      <c r="A201" s="40">
        <v>38</v>
      </c>
      <c r="B201" s="183" t="s">
        <v>509</v>
      </c>
      <c r="C201" s="183" t="s">
        <v>160</v>
      </c>
      <c r="D201" s="183">
        <v>3000</v>
      </c>
      <c r="E201" s="37">
        <v>90</v>
      </c>
    </row>
    <row r="202" spans="1:5" ht="14.25" customHeight="1" x14ac:dyDescent="0.3">
      <c r="A202" s="40">
        <v>39</v>
      </c>
      <c r="B202" s="183" t="s">
        <v>509</v>
      </c>
      <c r="C202" s="183" t="s">
        <v>495</v>
      </c>
      <c r="D202" s="183">
        <v>3000</v>
      </c>
      <c r="E202" s="37">
        <v>90</v>
      </c>
    </row>
    <row r="203" spans="1:5" ht="14.25" customHeight="1" x14ac:dyDescent="0.3">
      <c r="A203" s="212">
        <v>40</v>
      </c>
      <c r="B203" s="194" t="s">
        <v>509</v>
      </c>
      <c r="C203" s="194" t="s">
        <v>496</v>
      </c>
      <c r="D203" s="194">
        <v>3000</v>
      </c>
      <c r="E203" s="43">
        <v>90</v>
      </c>
    </row>
    <row r="204" spans="1:5" ht="14.25" customHeight="1" x14ac:dyDescent="0.3"/>
    <row r="205" spans="1:5" ht="14.25" customHeight="1" x14ac:dyDescent="0.3"/>
    <row r="206" spans="1:5" ht="14.25" customHeight="1" x14ac:dyDescent="0.3"/>
    <row r="207" spans="1:5" ht="14.25" customHeight="1" x14ac:dyDescent="0.3"/>
    <row r="208" spans="1: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7"/>
  <dimension ref="A1:I1000"/>
  <sheetViews>
    <sheetView workbookViewId="0"/>
  </sheetViews>
  <sheetFormatPr baseColWidth="10" defaultColWidth="14.44140625" defaultRowHeight="15" customHeight="1" x14ac:dyDescent="0.3"/>
  <cols>
    <col min="1" max="1" width="60.88671875" customWidth="1"/>
    <col min="2" max="2" width="50.33203125" customWidth="1"/>
    <col min="3" max="3" width="24.109375" customWidth="1"/>
    <col min="4" max="4" width="24.44140625" customWidth="1"/>
    <col min="5" max="5" width="42.88671875" customWidth="1"/>
    <col min="6" max="6" width="43" customWidth="1"/>
    <col min="7" max="7" width="15.33203125" customWidth="1"/>
    <col min="8" max="8" width="79.5546875" customWidth="1"/>
    <col min="9" max="9" width="101.6640625" customWidth="1"/>
  </cols>
  <sheetData>
    <row r="1" spans="1:9" ht="14.25" customHeight="1" x14ac:dyDescent="0.3">
      <c r="A1" s="282" t="s">
        <v>473</v>
      </c>
      <c r="B1" s="197" t="s">
        <v>5</v>
      </c>
      <c r="C1" s="197" t="s">
        <v>759</v>
      </c>
      <c r="D1" s="197" t="s">
        <v>621</v>
      </c>
      <c r="E1" s="197" t="s">
        <v>760</v>
      </c>
      <c r="F1" s="283" t="s">
        <v>761</v>
      </c>
      <c r="G1" s="197" t="s">
        <v>3</v>
      </c>
      <c r="H1" s="198" t="s">
        <v>762</v>
      </c>
      <c r="I1" s="25" t="s">
        <v>763</v>
      </c>
    </row>
    <row r="2" spans="1:9" ht="14.25" customHeight="1" x14ac:dyDescent="0.3">
      <c r="A2" s="40">
        <v>1</v>
      </c>
      <c r="B2" s="183" t="s">
        <v>482</v>
      </c>
      <c r="C2" s="183" t="s">
        <v>764</v>
      </c>
      <c r="D2" s="183">
        <v>0</v>
      </c>
      <c r="E2" s="183">
        <v>1</v>
      </c>
      <c r="F2" s="203" t="s">
        <v>765</v>
      </c>
      <c r="G2" s="183" t="s">
        <v>509</v>
      </c>
      <c r="H2" s="37" t="s">
        <v>151</v>
      </c>
      <c r="I2" s="25" t="s">
        <v>766</v>
      </c>
    </row>
    <row r="3" spans="1:9" ht="14.25" customHeight="1" x14ac:dyDescent="0.3">
      <c r="A3" s="40">
        <v>2</v>
      </c>
      <c r="B3" s="183" t="s">
        <v>154</v>
      </c>
      <c r="C3" s="183" t="s">
        <v>764</v>
      </c>
      <c r="D3" s="183">
        <v>0</v>
      </c>
      <c r="E3" s="183">
        <v>1</v>
      </c>
      <c r="F3" s="203" t="s">
        <v>767</v>
      </c>
      <c r="G3" s="183" t="s">
        <v>509</v>
      </c>
      <c r="H3" s="37" t="s">
        <v>150</v>
      </c>
    </row>
    <row r="4" spans="1:9" ht="14.25" customHeight="1" x14ac:dyDescent="0.3">
      <c r="A4" s="40">
        <v>3</v>
      </c>
      <c r="B4" s="183" t="s">
        <v>486</v>
      </c>
      <c r="C4" s="183" t="s">
        <v>764</v>
      </c>
      <c r="D4" s="183">
        <v>0</v>
      </c>
      <c r="E4" s="183">
        <v>1</v>
      </c>
      <c r="F4" s="203" t="s">
        <v>768</v>
      </c>
      <c r="G4" s="183" t="s">
        <v>509</v>
      </c>
      <c r="H4" s="37" t="s">
        <v>150</v>
      </c>
      <c r="I4" s="25" t="s">
        <v>769</v>
      </c>
    </row>
    <row r="5" spans="1:9" ht="14.25" customHeight="1" x14ac:dyDescent="0.3">
      <c r="A5" s="40">
        <v>4</v>
      </c>
      <c r="B5" s="183" t="s">
        <v>490</v>
      </c>
      <c r="C5" s="183" t="s">
        <v>764</v>
      </c>
      <c r="D5" s="183">
        <v>0</v>
      </c>
      <c r="E5" s="183">
        <v>1</v>
      </c>
      <c r="F5" s="203" t="s">
        <v>770</v>
      </c>
      <c r="G5" s="183" t="s">
        <v>509</v>
      </c>
      <c r="H5" s="37" t="s">
        <v>150</v>
      </c>
    </row>
    <row r="6" spans="1:9" ht="26.25" customHeight="1" x14ac:dyDescent="0.3">
      <c r="A6" s="40">
        <v>5</v>
      </c>
      <c r="B6" s="183" t="s">
        <v>431</v>
      </c>
      <c r="C6" s="183" t="s">
        <v>764</v>
      </c>
      <c r="D6" s="183">
        <v>0</v>
      </c>
      <c r="E6" s="183">
        <v>1</v>
      </c>
      <c r="F6" s="203" t="s">
        <v>771</v>
      </c>
      <c r="G6" s="183" t="s">
        <v>509</v>
      </c>
      <c r="H6" s="37" t="s">
        <v>150</v>
      </c>
    </row>
    <row r="7" spans="1:9" ht="210" customHeight="1" x14ac:dyDescent="0.3">
      <c r="A7" s="40">
        <v>6</v>
      </c>
      <c r="B7" s="183" t="s">
        <v>160</v>
      </c>
      <c r="C7" s="183" t="s">
        <v>772</v>
      </c>
      <c r="D7" s="183">
        <v>0</v>
      </c>
      <c r="E7" s="183">
        <v>1</v>
      </c>
      <c r="F7" s="203" t="s">
        <v>773</v>
      </c>
      <c r="G7" s="183" t="s">
        <v>509</v>
      </c>
      <c r="H7" s="37" t="s">
        <v>150</v>
      </c>
      <c r="I7" s="120" t="s">
        <v>774</v>
      </c>
    </row>
    <row r="8" spans="1:9" ht="14.25" customHeight="1" x14ac:dyDescent="0.3">
      <c r="A8" s="40">
        <v>7</v>
      </c>
      <c r="B8" s="183" t="s">
        <v>495</v>
      </c>
      <c r="C8" s="183" t="s">
        <v>772</v>
      </c>
      <c r="D8" s="183">
        <v>0</v>
      </c>
      <c r="E8" s="183">
        <v>1</v>
      </c>
      <c r="F8" s="203" t="s">
        <v>775</v>
      </c>
      <c r="G8" s="183" t="s">
        <v>509</v>
      </c>
      <c r="H8" s="37" t="s">
        <v>150</v>
      </c>
    </row>
    <row r="9" spans="1:9" ht="14.25" customHeight="1" x14ac:dyDescent="0.3">
      <c r="A9" s="40">
        <v>8</v>
      </c>
      <c r="B9" s="183" t="s">
        <v>496</v>
      </c>
      <c r="C9" s="183" t="s">
        <v>772</v>
      </c>
      <c r="D9" s="183">
        <v>0</v>
      </c>
      <c r="E9" s="183">
        <v>1</v>
      </c>
      <c r="F9" s="203" t="s">
        <v>776</v>
      </c>
      <c r="G9" s="183" t="s">
        <v>509</v>
      </c>
      <c r="H9" s="37" t="s">
        <v>150</v>
      </c>
    </row>
    <row r="10" spans="1:9" ht="14.25" customHeight="1" x14ac:dyDescent="0.3">
      <c r="A10" s="40">
        <v>9</v>
      </c>
      <c r="B10" s="183" t="s">
        <v>482</v>
      </c>
      <c r="C10" s="183" t="s">
        <v>764</v>
      </c>
      <c r="D10" s="183">
        <v>600</v>
      </c>
      <c r="E10" s="183" t="s">
        <v>777</v>
      </c>
      <c r="F10" s="203" t="s">
        <v>778</v>
      </c>
      <c r="G10" s="183" t="s">
        <v>509</v>
      </c>
      <c r="H10" s="37" t="s">
        <v>150</v>
      </c>
    </row>
    <row r="11" spans="1:9" ht="14.25" customHeight="1" x14ac:dyDescent="0.3">
      <c r="A11" s="40">
        <v>10</v>
      </c>
      <c r="B11" s="183" t="s">
        <v>154</v>
      </c>
      <c r="C11" s="183" t="s">
        <v>764</v>
      </c>
      <c r="D11" s="183">
        <v>600</v>
      </c>
      <c r="E11" s="183" t="s">
        <v>777</v>
      </c>
      <c r="F11" s="203" t="s">
        <v>779</v>
      </c>
      <c r="G11" s="183" t="s">
        <v>509</v>
      </c>
      <c r="H11" s="37" t="s">
        <v>150</v>
      </c>
    </row>
    <row r="12" spans="1:9" ht="14.25" customHeight="1" x14ac:dyDescent="0.3">
      <c r="A12" s="40">
        <v>11</v>
      </c>
      <c r="B12" s="183" t="s">
        <v>486</v>
      </c>
      <c r="C12" s="183" t="s">
        <v>764</v>
      </c>
      <c r="D12" s="183">
        <v>400</v>
      </c>
      <c r="E12" s="183" t="s">
        <v>780</v>
      </c>
      <c r="F12" s="203" t="s">
        <v>781</v>
      </c>
      <c r="G12" s="183" t="s">
        <v>509</v>
      </c>
      <c r="H12" s="37" t="s">
        <v>150</v>
      </c>
    </row>
    <row r="13" spans="1:9" ht="14.25" customHeight="1" x14ac:dyDescent="0.3">
      <c r="A13" s="40">
        <v>12</v>
      </c>
      <c r="B13" s="183" t="s">
        <v>490</v>
      </c>
      <c r="C13" s="183" t="s">
        <v>764</v>
      </c>
      <c r="D13" s="183">
        <v>400</v>
      </c>
      <c r="E13" s="183" t="s">
        <v>780</v>
      </c>
      <c r="F13" s="203" t="s">
        <v>782</v>
      </c>
      <c r="G13" s="183" t="s">
        <v>509</v>
      </c>
      <c r="H13" s="37" t="s">
        <v>150</v>
      </c>
    </row>
    <row r="14" spans="1:9" ht="14.25" customHeight="1" x14ac:dyDescent="0.3">
      <c r="A14" s="40">
        <v>13</v>
      </c>
      <c r="B14" s="183" t="s">
        <v>431</v>
      </c>
      <c r="C14" s="183" t="s">
        <v>764</v>
      </c>
      <c r="D14" s="183">
        <v>400</v>
      </c>
      <c r="E14" s="183" t="s">
        <v>780</v>
      </c>
      <c r="F14" s="203" t="s">
        <v>783</v>
      </c>
      <c r="G14" s="183" t="s">
        <v>509</v>
      </c>
      <c r="H14" s="37" t="s">
        <v>150</v>
      </c>
    </row>
    <row r="15" spans="1:9" ht="14.25" customHeight="1" x14ac:dyDescent="0.3">
      <c r="A15" s="40">
        <v>14</v>
      </c>
      <c r="B15" s="183" t="s">
        <v>160</v>
      </c>
      <c r="C15" s="183" t="s">
        <v>772</v>
      </c>
      <c r="D15" s="183">
        <v>300</v>
      </c>
      <c r="E15" s="183" t="s">
        <v>784</v>
      </c>
      <c r="F15" s="203" t="s">
        <v>785</v>
      </c>
      <c r="G15" s="183" t="s">
        <v>509</v>
      </c>
      <c r="H15" s="37" t="s">
        <v>150</v>
      </c>
    </row>
    <row r="16" spans="1:9" ht="14.25" customHeight="1" x14ac:dyDescent="0.3">
      <c r="A16" s="40">
        <v>15</v>
      </c>
      <c r="B16" s="183" t="s">
        <v>495</v>
      </c>
      <c r="C16" s="183" t="s">
        <v>772</v>
      </c>
      <c r="D16" s="183">
        <v>300</v>
      </c>
      <c r="E16" s="183" t="s">
        <v>784</v>
      </c>
      <c r="F16" s="203" t="s">
        <v>786</v>
      </c>
      <c r="G16" s="183" t="s">
        <v>509</v>
      </c>
      <c r="H16" s="37" t="s">
        <v>150</v>
      </c>
    </row>
    <row r="17" spans="1:8" ht="14.25" customHeight="1" x14ac:dyDescent="0.3">
      <c r="A17" s="212">
        <v>16</v>
      </c>
      <c r="B17" s="194" t="s">
        <v>496</v>
      </c>
      <c r="C17" s="194" t="s">
        <v>772</v>
      </c>
      <c r="D17" s="194">
        <v>300</v>
      </c>
      <c r="E17" s="194" t="s">
        <v>784</v>
      </c>
      <c r="F17" s="206" t="s">
        <v>787</v>
      </c>
      <c r="G17" s="194" t="s">
        <v>509</v>
      </c>
      <c r="H17" s="43" t="s">
        <v>150</v>
      </c>
    </row>
    <row r="18" spans="1:8" ht="14.25" customHeight="1" x14ac:dyDescent="0.3"/>
    <row r="19" spans="1:8" ht="14.25" customHeight="1" x14ac:dyDescent="0.3"/>
    <row r="20" spans="1:8" ht="14.25" customHeight="1" x14ac:dyDescent="0.3"/>
    <row r="21" spans="1:8" ht="14.25" customHeight="1" x14ac:dyDescent="0.3"/>
    <row r="22" spans="1:8" ht="14.25" customHeight="1" x14ac:dyDescent="0.3"/>
    <row r="23" spans="1:8" ht="14.25" customHeight="1" x14ac:dyDescent="0.3">
      <c r="A23" s="284"/>
      <c r="B23" s="285" t="s">
        <v>788</v>
      </c>
      <c r="C23" s="285"/>
      <c r="D23" s="285"/>
      <c r="E23" s="286"/>
    </row>
    <row r="24" spans="1:8" ht="14.25" customHeight="1" x14ac:dyDescent="0.3">
      <c r="A24" s="196"/>
      <c r="B24" s="197" t="s">
        <v>789</v>
      </c>
      <c r="C24" s="197" t="s">
        <v>790</v>
      </c>
      <c r="D24" s="197" t="s">
        <v>791</v>
      </c>
      <c r="E24" s="198" t="s">
        <v>792</v>
      </c>
      <c r="F24" s="286" t="s">
        <v>793</v>
      </c>
      <c r="G24" s="286" t="s">
        <v>794</v>
      </c>
    </row>
    <row r="25" spans="1:8" ht="14.25" customHeight="1" x14ac:dyDescent="0.3">
      <c r="A25" s="287" t="s">
        <v>795</v>
      </c>
      <c r="B25" s="203" t="s">
        <v>796</v>
      </c>
      <c r="C25" s="203" t="s">
        <v>796</v>
      </c>
      <c r="D25" s="203" t="s">
        <v>797</v>
      </c>
      <c r="E25" s="288" t="s">
        <v>798</v>
      </c>
      <c r="F25" s="289" t="s">
        <v>799</v>
      </c>
      <c r="G25" s="290" t="s">
        <v>800</v>
      </c>
    </row>
    <row r="26" spans="1:8" ht="14.25" customHeight="1" x14ac:dyDescent="0.3">
      <c r="A26" s="291" t="s">
        <v>801</v>
      </c>
      <c r="B26" s="206" t="s">
        <v>796</v>
      </c>
      <c r="C26" s="206" t="s">
        <v>796</v>
      </c>
      <c r="D26" s="206" t="s">
        <v>796</v>
      </c>
      <c r="E26" s="292" t="s">
        <v>797</v>
      </c>
      <c r="F26" s="291" t="s">
        <v>799</v>
      </c>
      <c r="G26" s="293" t="s">
        <v>800</v>
      </c>
    </row>
    <row r="27" spans="1:8" ht="43.5" customHeight="1" x14ac:dyDescent="0.3">
      <c r="H27" s="120" t="s">
        <v>802</v>
      </c>
    </row>
    <row r="28" spans="1:8" ht="62.25" customHeight="1" x14ac:dyDescent="0.3">
      <c r="A28" s="120" t="s">
        <v>803</v>
      </c>
    </row>
    <row r="29" spans="1:8" ht="65.25" customHeight="1" x14ac:dyDescent="0.3">
      <c r="A29" s="120"/>
      <c r="H29" s="120" t="s">
        <v>804</v>
      </c>
    </row>
    <row r="30" spans="1:8" ht="130.5" customHeight="1" x14ac:dyDescent="0.3">
      <c r="A30" s="120" t="s">
        <v>805</v>
      </c>
      <c r="H30" s="120"/>
    </row>
    <row r="31" spans="1:8" ht="14.25" customHeight="1" x14ac:dyDescent="0.3">
      <c r="H31" s="120" t="s">
        <v>806</v>
      </c>
    </row>
    <row r="32" spans="1:8" ht="14.25" customHeight="1" x14ac:dyDescent="0.3"/>
    <row r="33" spans="2:8" ht="24.75" customHeight="1" x14ac:dyDescent="0.3"/>
    <row r="34" spans="2:8" ht="14.25" customHeight="1" x14ac:dyDescent="0.3"/>
    <row r="35" spans="2:8" ht="14.25" customHeight="1" x14ac:dyDescent="0.3">
      <c r="B35" s="294"/>
      <c r="C35" s="294"/>
      <c r="F35" s="294"/>
      <c r="H35" s="294"/>
    </row>
    <row r="36" spans="2:8" ht="14.25" customHeight="1" x14ac:dyDescent="0.3"/>
    <row r="37" spans="2:8" ht="14.25" customHeight="1" x14ac:dyDescent="0.3"/>
    <row r="38" spans="2:8" ht="14.25" customHeight="1" x14ac:dyDescent="0.3"/>
    <row r="39" spans="2:8" ht="14.25" customHeight="1" x14ac:dyDescent="0.3"/>
    <row r="40" spans="2:8" ht="14.25" customHeight="1" x14ac:dyDescent="0.3"/>
    <row r="41" spans="2:8" ht="14.25" customHeight="1" x14ac:dyDescent="0.3"/>
    <row r="42" spans="2:8" ht="14.25" customHeight="1" x14ac:dyDescent="0.3"/>
    <row r="43" spans="2:8" ht="14.25" customHeight="1" x14ac:dyDescent="0.3"/>
    <row r="44" spans="2:8" ht="14.25" customHeight="1" x14ac:dyDescent="0.3"/>
    <row r="45" spans="2:8" ht="14.25" customHeight="1" x14ac:dyDescent="0.3"/>
    <row r="46" spans="2:8" ht="14.25" customHeight="1" x14ac:dyDescent="0.3"/>
    <row r="47" spans="2:8" ht="14.25" customHeight="1" x14ac:dyDescent="0.3"/>
    <row r="48" spans="2: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
  <dimension ref="A1:H1000"/>
  <sheetViews>
    <sheetView workbookViewId="0"/>
  </sheetViews>
  <sheetFormatPr baseColWidth="10" defaultColWidth="14.44140625" defaultRowHeight="15" customHeight="1" x14ac:dyDescent="0.3"/>
  <cols>
    <col min="1" max="1" width="10.6640625" customWidth="1"/>
    <col min="2" max="2" width="13.88671875" customWidth="1"/>
    <col min="3" max="7" width="10.6640625" customWidth="1"/>
    <col min="8" max="8" width="22.88671875" customWidth="1"/>
  </cols>
  <sheetData>
    <row r="1" spans="1:8" ht="14.25" customHeight="1" x14ac:dyDescent="0.3">
      <c r="A1" s="295" t="s">
        <v>807</v>
      </c>
      <c r="B1" s="25" t="s">
        <v>808</v>
      </c>
    </row>
    <row r="2" spans="1:8" ht="14.25" customHeight="1" x14ac:dyDescent="0.3">
      <c r="A2" s="296" t="s">
        <v>473</v>
      </c>
      <c r="B2" s="297" t="s">
        <v>474</v>
      </c>
      <c r="C2" s="297" t="s">
        <v>475</v>
      </c>
      <c r="D2" s="297" t="s">
        <v>736</v>
      </c>
      <c r="E2" s="297" t="s">
        <v>737</v>
      </c>
      <c r="F2" s="298" t="s">
        <v>809</v>
      </c>
    </row>
    <row r="3" spans="1:8" ht="14.25" customHeight="1" x14ac:dyDescent="0.3">
      <c r="A3" s="299">
        <v>1</v>
      </c>
      <c r="B3" s="300" t="s">
        <v>481</v>
      </c>
      <c r="C3" s="300" t="s">
        <v>482</v>
      </c>
      <c r="D3" s="301">
        <v>300</v>
      </c>
      <c r="E3" s="302" t="s">
        <v>150</v>
      </c>
      <c r="F3" s="231" t="s">
        <v>152</v>
      </c>
      <c r="H3" s="303" t="s">
        <v>810</v>
      </c>
    </row>
    <row r="4" spans="1:8" ht="14.25" customHeight="1" x14ac:dyDescent="0.3">
      <c r="A4" s="304">
        <v>2</v>
      </c>
      <c r="B4" s="229" t="s">
        <v>481</v>
      </c>
      <c r="C4" s="229" t="s">
        <v>154</v>
      </c>
      <c r="D4" s="305">
        <v>300</v>
      </c>
      <c r="E4" s="306" t="s">
        <v>150</v>
      </c>
      <c r="F4" s="230" t="s">
        <v>152</v>
      </c>
    </row>
    <row r="5" spans="1:8" ht="14.25" customHeight="1" x14ac:dyDescent="0.3">
      <c r="A5" s="299">
        <v>3</v>
      </c>
      <c r="B5" s="229" t="s">
        <v>481</v>
      </c>
      <c r="C5" s="229" t="s">
        <v>486</v>
      </c>
      <c r="D5" s="305">
        <v>300</v>
      </c>
      <c r="E5" s="306" t="s">
        <v>150</v>
      </c>
      <c r="F5" s="230" t="s">
        <v>152</v>
      </c>
      <c r="H5" s="303" t="s">
        <v>811</v>
      </c>
    </row>
    <row r="6" spans="1:8" ht="14.25" customHeight="1" x14ac:dyDescent="0.3">
      <c r="A6" s="304">
        <v>4</v>
      </c>
      <c r="B6" s="229" t="s">
        <v>481</v>
      </c>
      <c r="C6" s="229" t="s">
        <v>490</v>
      </c>
      <c r="D6" s="305">
        <v>300</v>
      </c>
      <c r="E6" s="306" t="s">
        <v>150</v>
      </c>
      <c r="F6" s="230" t="s">
        <v>152</v>
      </c>
    </row>
    <row r="7" spans="1:8" ht="14.25" customHeight="1" x14ac:dyDescent="0.3">
      <c r="A7" s="299">
        <v>5</v>
      </c>
      <c r="B7" s="229" t="s">
        <v>481</v>
      </c>
      <c r="C7" s="229" t="s">
        <v>431</v>
      </c>
      <c r="D7" s="305">
        <v>300</v>
      </c>
      <c r="E7" s="306" t="s">
        <v>150</v>
      </c>
      <c r="F7" s="230" t="s">
        <v>152</v>
      </c>
    </row>
    <row r="8" spans="1:8" ht="14.25" customHeight="1" x14ac:dyDescent="0.3">
      <c r="A8" s="304">
        <v>6</v>
      </c>
      <c r="B8" s="229" t="s">
        <v>481</v>
      </c>
      <c r="C8" s="229" t="s">
        <v>160</v>
      </c>
      <c r="D8" s="305">
        <v>300</v>
      </c>
      <c r="E8" s="306" t="s">
        <v>150</v>
      </c>
      <c r="F8" s="230" t="s">
        <v>812</v>
      </c>
    </row>
    <row r="9" spans="1:8" ht="14.25" customHeight="1" x14ac:dyDescent="0.3">
      <c r="A9" s="299">
        <v>7</v>
      </c>
      <c r="B9" s="229" t="s">
        <v>481</v>
      </c>
      <c r="C9" s="229" t="s">
        <v>495</v>
      </c>
      <c r="D9" s="305">
        <v>300</v>
      </c>
      <c r="E9" s="306" t="s">
        <v>150</v>
      </c>
      <c r="F9" s="230" t="s">
        <v>812</v>
      </c>
    </row>
    <row r="10" spans="1:8" ht="14.25" customHeight="1" x14ac:dyDescent="0.3">
      <c r="A10" s="304">
        <v>8</v>
      </c>
      <c r="B10" s="229" t="s">
        <v>481</v>
      </c>
      <c r="C10" s="229" t="s">
        <v>496</v>
      </c>
      <c r="D10" s="305">
        <v>300</v>
      </c>
      <c r="E10" s="306" t="s">
        <v>150</v>
      </c>
      <c r="F10" s="230" t="s">
        <v>812</v>
      </c>
    </row>
    <row r="11" spans="1:8" ht="14.25" customHeight="1" x14ac:dyDescent="0.3">
      <c r="A11" s="299">
        <v>9</v>
      </c>
      <c r="B11" s="229" t="s">
        <v>497</v>
      </c>
      <c r="C11" s="229" t="s">
        <v>482</v>
      </c>
      <c r="D11" s="305">
        <v>0</v>
      </c>
      <c r="E11" s="306" t="s">
        <v>151</v>
      </c>
      <c r="F11" s="230" t="s">
        <v>152</v>
      </c>
    </row>
    <row r="12" spans="1:8" ht="14.25" customHeight="1" x14ac:dyDescent="0.3">
      <c r="A12" s="304">
        <v>10</v>
      </c>
      <c r="B12" s="229" t="s">
        <v>497</v>
      </c>
      <c r="C12" s="229" t="s">
        <v>154</v>
      </c>
      <c r="D12" s="305">
        <v>0</v>
      </c>
      <c r="E12" s="306" t="s">
        <v>151</v>
      </c>
      <c r="F12" s="230" t="s">
        <v>152</v>
      </c>
    </row>
    <row r="13" spans="1:8" ht="14.25" customHeight="1" x14ac:dyDescent="0.3">
      <c r="A13" s="299">
        <v>11</v>
      </c>
      <c r="B13" s="229" t="s">
        <v>497</v>
      </c>
      <c r="C13" s="229" t="s">
        <v>486</v>
      </c>
      <c r="D13" s="305">
        <v>500</v>
      </c>
      <c r="E13" s="306" t="s">
        <v>150</v>
      </c>
      <c r="F13" s="230" t="s">
        <v>152</v>
      </c>
    </row>
    <row r="14" spans="1:8" ht="14.25" customHeight="1" x14ac:dyDescent="0.3">
      <c r="A14" s="304">
        <v>12</v>
      </c>
      <c r="B14" s="229" t="s">
        <v>497</v>
      </c>
      <c r="C14" s="229" t="s">
        <v>490</v>
      </c>
      <c r="D14" s="305">
        <v>500</v>
      </c>
      <c r="E14" s="306" t="s">
        <v>153</v>
      </c>
      <c r="F14" s="230" t="s">
        <v>152</v>
      </c>
    </row>
    <row r="15" spans="1:8" ht="14.25" customHeight="1" x14ac:dyDescent="0.3">
      <c r="A15" s="299">
        <v>13</v>
      </c>
      <c r="B15" s="229" t="s">
        <v>497</v>
      </c>
      <c r="C15" s="229" t="s">
        <v>431</v>
      </c>
      <c r="D15" s="305">
        <v>500</v>
      </c>
      <c r="E15" s="306" t="s">
        <v>150</v>
      </c>
      <c r="F15" s="230" t="s">
        <v>152</v>
      </c>
    </row>
    <row r="16" spans="1:8" ht="14.25" customHeight="1" x14ac:dyDescent="0.3">
      <c r="A16" s="304">
        <v>14</v>
      </c>
      <c r="B16" s="229" t="s">
        <v>497</v>
      </c>
      <c r="C16" s="229" t="s">
        <v>160</v>
      </c>
      <c r="D16" s="305">
        <v>200</v>
      </c>
      <c r="E16" s="306" t="s">
        <v>150</v>
      </c>
      <c r="F16" s="230" t="s">
        <v>812</v>
      </c>
    </row>
    <row r="17" spans="1:6" ht="14.25" customHeight="1" x14ac:dyDescent="0.3">
      <c r="A17" s="299">
        <v>15</v>
      </c>
      <c r="B17" s="229" t="s">
        <v>497</v>
      </c>
      <c r="C17" s="229" t="s">
        <v>495</v>
      </c>
      <c r="D17" s="305">
        <v>200</v>
      </c>
      <c r="E17" s="306" t="s">
        <v>150</v>
      </c>
      <c r="F17" s="230" t="s">
        <v>812</v>
      </c>
    </row>
    <row r="18" spans="1:6" ht="14.25" customHeight="1" x14ac:dyDescent="0.3">
      <c r="A18" s="304">
        <v>16</v>
      </c>
      <c r="B18" s="229" t="s">
        <v>497</v>
      </c>
      <c r="C18" s="229" t="s">
        <v>496</v>
      </c>
      <c r="D18" s="305">
        <v>200</v>
      </c>
      <c r="E18" s="306" t="s">
        <v>150</v>
      </c>
      <c r="F18" s="230" t="s">
        <v>812</v>
      </c>
    </row>
    <row r="19" spans="1:6" ht="14.25" customHeight="1" x14ac:dyDescent="0.3">
      <c r="A19" s="299">
        <v>17</v>
      </c>
      <c r="B19" s="229" t="s">
        <v>138</v>
      </c>
      <c r="C19" s="229" t="s">
        <v>482</v>
      </c>
      <c r="D19" s="305">
        <v>0</v>
      </c>
      <c r="E19" s="306" t="s">
        <v>151</v>
      </c>
      <c r="F19" s="230" t="s">
        <v>152</v>
      </c>
    </row>
    <row r="20" spans="1:6" ht="14.25" customHeight="1" x14ac:dyDescent="0.3">
      <c r="A20" s="304">
        <v>18</v>
      </c>
      <c r="B20" s="229" t="s">
        <v>138</v>
      </c>
      <c r="C20" s="229" t="s">
        <v>154</v>
      </c>
      <c r="D20" s="305">
        <v>0</v>
      </c>
      <c r="E20" s="306" t="s">
        <v>150</v>
      </c>
      <c r="F20" s="230" t="s">
        <v>152</v>
      </c>
    </row>
    <row r="21" spans="1:6" ht="14.25" customHeight="1" x14ac:dyDescent="0.3">
      <c r="A21" s="299">
        <v>19</v>
      </c>
      <c r="B21" s="229" t="s">
        <v>138</v>
      </c>
      <c r="C21" s="229" t="s">
        <v>486</v>
      </c>
      <c r="D21" s="305">
        <v>500</v>
      </c>
      <c r="E21" s="306" t="s">
        <v>150</v>
      </c>
      <c r="F21" s="230" t="s">
        <v>152</v>
      </c>
    </row>
    <row r="22" spans="1:6" ht="14.25" customHeight="1" x14ac:dyDescent="0.3">
      <c r="A22" s="304">
        <v>20</v>
      </c>
      <c r="B22" s="229" t="s">
        <v>138</v>
      </c>
      <c r="C22" s="229" t="s">
        <v>490</v>
      </c>
      <c r="D22" s="305">
        <v>500</v>
      </c>
      <c r="E22" s="306" t="s">
        <v>153</v>
      </c>
      <c r="F22" s="230" t="s">
        <v>152</v>
      </c>
    </row>
    <row r="23" spans="1:6" ht="14.25" customHeight="1" x14ac:dyDescent="0.3">
      <c r="A23" s="299">
        <v>21</v>
      </c>
      <c r="B23" s="229" t="s">
        <v>138</v>
      </c>
      <c r="C23" s="229" t="s">
        <v>431</v>
      </c>
      <c r="D23" s="305">
        <v>500</v>
      </c>
      <c r="E23" s="306" t="s">
        <v>150</v>
      </c>
      <c r="F23" s="230" t="s">
        <v>152</v>
      </c>
    </row>
    <row r="24" spans="1:6" ht="14.25" customHeight="1" x14ac:dyDescent="0.3">
      <c r="A24" s="304">
        <v>22</v>
      </c>
      <c r="B24" s="229" t="s">
        <v>138</v>
      </c>
      <c r="C24" s="229" t="s">
        <v>160</v>
      </c>
      <c r="D24" s="305">
        <v>200</v>
      </c>
      <c r="E24" s="306" t="s">
        <v>150</v>
      </c>
      <c r="F24" s="230" t="s">
        <v>812</v>
      </c>
    </row>
    <row r="25" spans="1:6" ht="14.25" customHeight="1" x14ac:dyDescent="0.3">
      <c r="A25" s="299">
        <v>23</v>
      </c>
      <c r="B25" s="229" t="s">
        <v>138</v>
      </c>
      <c r="C25" s="229" t="s">
        <v>495</v>
      </c>
      <c r="D25" s="305">
        <v>200</v>
      </c>
      <c r="E25" s="306" t="s">
        <v>150</v>
      </c>
      <c r="F25" s="230" t="s">
        <v>812</v>
      </c>
    </row>
    <row r="26" spans="1:6" ht="14.25" customHeight="1" x14ac:dyDescent="0.3">
      <c r="A26" s="304">
        <v>24</v>
      </c>
      <c r="B26" s="229" t="s">
        <v>138</v>
      </c>
      <c r="C26" s="229" t="s">
        <v>496</v>
      </c>
      <c r="D26" s="305">
        <v>200</v>
      </c>
      <c r="E26" s="306" t="s">
        <v>150</v>
      </c>
      <c r="F26" s="230" t="s">
        <v>812</v>
      </c>
    </row>
    <row r="27" spans="1:6" ht="14.25" customHeight="1" x14ac:dyDescent="0.3">
      <c r="A27" s="299">
        <v>25</v>
      </c>
      <c r="B27" s="229" t="s">
        <v>155</v>
      </c>
      <c r="C27" s="229" t="s">
        <v>482</v>
      </c>
      <c r="D27" s="305">
        <v>0</v>
      </c>
      <c r="E27" s="306" t="s">
        <v>151</v>
      </c>
      <c r="F27" s="230" t="s">
        <v>152</v>
      </c>
    </row>
    <row r="28" spans="1:6" ht="14.25" customHeight="1" x14ac:dyDescent="0.3">
      <c r="A28" s="304">
        <v>26</v>
      </c>
      <c r="B28" s="229" t="s">
        <v>155</v>
      </c>
      <c r="C28" s="229" t="s">
        <v>154</v>
      </c>
      <c r="D28" s="305">
        <v>0</v>
      </c>
      <c r="E28" s="306" t="s">
        <v>151</v>
      </c>
      <c r="F28" s="230" t="s">
        <v>152</v>
      </c>
    </row>
    <row r="29" spans="1:6" ht="14.25" customHeight="1" x14ac:dyDescent="0.3">
      <c r="A29" s="299">
        <v>27</v>
      </c>
      <c r="B29" s="229" t="s">
        <v>155</v>
      </c>
      <c r="C29" s="229" t="s">
        <v>486</v>
      </c>
      <c r="D29" s="305">
        <v>1000</v>
      </c>
      <c r="E29" s="306" t="s">
        <v>150</v>
      </c>
      <c r="F29" s="230" t="s">
        <v>152</v>
      </c>
    </row>
    <row r="30" spans="1:6" ht="14.25" customHeight="1" x14ac:dyDescent="0.3">
      <c r="A30" s="304">
        <v>28</v>
      </c>
      <c r="B30" s="229" t="s">
        <v>155</v>
      </c>
      <c r="C30" s="229" t="s">
        <v>490</v>
      </c>
      <c r="D30" s="305">
        <v>1000</v>
      </c>
      <c r="E30" s="306" t="s">
        <v>150</v>
      </c>
      <c r="F30" s="230" t="s">
        <v>152</v>
      </c>
    </row>
    <row r="31" spans="1:6" ht="14.25" customHeight="1" x14ac:dyDescent="0.3">
      <c r="A31" s="299">
        <v>29</v>
      </c>
      <c r="B31" s="229" t="s">
        <v>155</v>
      </c>
      <c r="C31" s="229" t="s">
        <v>431</v>
      </c>
      <c r="D31" s="305">
        <v>1000</v>
      </c>
      <c r="E31" s="306" t="s">
        <v>150</v>
      </c>
      <c r="F31" s="230" t="s">
        <v>152</v>
      </c>
    </row>
    <row r="32" spans="1:6" ht="14.25" customHeight="1" x14ac:dyDescent="0.3">
      <c r="A32" s="304">
        <v>30</v>
      </c>
      <c r="B32" s="229" t="s">
        <v>155</v>
      </c>
      <c r="C32" s="229" t="s">
        <v>160</v>
      </c>
      <c r="D32" s="305">
        <v>500</v>
      </c>
      <c r="E32" s="306" t="s">
        <v>150</v>
      </c>
      <c r="F32" s="230" t="s">
        <v>812</v>
      </c>
    </row>
    <row r="33" spans="1:6" ht="14.25" customHeight="1" x14ac:dyDescent="0.3">
      <c r="A33" s="299">
        <v>31</v>
      </c>
      <c r="B33" s="229" t="s">
        <v>155</v>
      </c>
      <c r="C33" s="229" t="s">
        <v>495</v>
      </c>
      <c r="D33" s="305">
        <v>500</v>
      </c>
      <c r="E33" s="306" t="s">
        <v>150</v>
      </c>
      <c r="F33" s="230" t="s">
        <v>812</v>
      </c>
    </row>
    <row r="34" spans="1:6" ht="14.25" customHeight="1" x14ac:dyDescent="0.3">
      <c r="A34" s="304">
        <v>32</v>
      </c>
      <c r="B34" s="307" t="s">
        <v>155</v>
      </c>
      <c r="C34" s="307" t="s">
        <v>496</v>
      </c>
      <c r="D34" s="308">
        <v>500</v>
      </c>
      <c r="E34" s="309" t="s">
        <v>150</v>
      </c>
      <c r="F34" s="310" t="s">
        <v>812</v>
      </c>
    </row>
    <row r="35" spans="1:6" ht="14.25" customHeight="1" x14ac:dyDescent="0.3">
      <c r="A35" s="299">
        <v>33</v>
      </c>
      <c r="B35" s="311" t="s">
        <v>509</v>
      </c>
      <c r="C35" s="311" t="s">
        <v>482</v>
      </c>
      <c r="D35" s="312">
        <v>0</v>
      </c>
      <c r="E35" s="311" t="s">
        <v>151</v>
      </c>
      <c r="F35" s="228" t="s">
        <v>152</v>
      </c>
    </row>
    <row r="36" spans="1:6" ht="14.25" customHeight="1" x14ac:dyDescent="0.3">
      <c r="A36" s="304">
        <v>34</v>
      </c>
      <c r="B36" s="229" t="s">
        <v>509</v>
      </c>
      <c r="C36" s="229" t="s">
        <v>154</v>
      </c>
      <c r="D36" s="305">
        <v>0</v>
      </c>
      <c r="E36" s="229" t="s">
        <v>151</v>
      </c>
      <c r="F36" s="230" t="s">
        <v>152</v>
      </c>
    </row>
    <row r="37" spans="1:6" ht="14.25" customHeight="1" x14ac:dyDescent="0.3">
      <c r="A37" s="299">
        <v>35</v>
      </c>
      <c r="B37" s="229" t="s">
        <v>509</v>
      </c>
      <c r="C37" s="229" t="s">
        <v>486</v>
      </c>
      <c r="D37" s="305">
        <v>0</v>
      </c>
      <c r="E37" s="229" t="s">
        <v>151</v>
      </c>
      <c r="F37" s="230" t="s">
        <v>152</v>
      </c>
    </row>
    <row r="38" spans="1:6" ht="14.25" customHeight="1" x14ac:dyDescent="0.3">
      <c r="A38" s="304">
        <v>36</v>
      </c>
      <c r="B38" s="229" t="s">
        <v>509</v>
      </c>
      <c r="C38" s="229" t="s">
        <v>490</v>
      </c>
      <c r="D38" s="305">
        <v>0</v>
      </c>
      <c r="E38" s="229" t="s">
        <v>151</v>
      </c>
      <c r="F38" s="230" t="s">
        <v>152</v>
      </c>
    </row>
    <row r="39" spans="1:6" ht="14.25" customHeight="1" x14ac:dyDescent="0.3">
      <c r="A39" s="299">
        <v>37</v>
      </c>
      <c r="B39" s="229" t="s">
        <v>509</v>
      </c>
      <c r="C39" s="229" t="s">
        <v>431</v>
      </c>
      <c r="D39" s="305">
        <v>0</v>
      </c>
      <c r="E39" s="229" t="s">
        <v>151</v>
      </c>
      <c r="F39" s="230" t="s">
        <v>152</v>
      </c>
    </row>
    <row r="40" spans="1:6" ht="14.25" customHeight="1" x14ac:dyDescent="0.3">
      <c r="A40" s="304">
        <v>38</v>
      </c>
      <c r="B40" s="229" t="s">
        <v>509</v>
      </c>
      <c r="C40" s="229" t="s">
        <v>160</v>
      </c>
      <c r="D40" s="305">
        <v>5000</v>
      </c>
      <c r="E40" s="229" t="s">
        <v>150</v>
      </c>
      <c r="F40" s="230" t="s">
        <v>812</v>
      </c>
    </row>
    <row r="41" spans="1:6" ht="14.25" customHeight="1" x14ac:dyDescent="0.3">
      <c r="A41" s="299">
        <v>39</v>
      </c>
      <c r="B41" s="229" t="s">
        <v>509</v>
      </c>
      <c r="C41" s="229" t="s">
        <v>495</v>
      </c>
      <c r="D41" s="305">
        <v>5000</v>
      </c>
      <c r="E41" s="229" t="s">
        <v>150</v>
      </c>
      <c r="F41" s="230" t="s">
        <v>812</v>
      </c>
    </row>
    <row r="42" spans="1:6" ht="14.25" customHeight="1" x14ac:dyDescent="0.3">
      <c r="A42" s="304">
        <v>40</v>
      </c>
      <c r="B42" s="232" t="s">
        <v>509</v>
      </c>
      <c r="C42" s="232" t="s">
        <v>496</v>
      </c>
      <c r="D42" s="313">
        <v>5000</v>
      </c>
      <c r="E42" s="232" t="s">
        <v>150</v>
      </c>
      <c r="F42" s="314" t="s">
        <v>812</v>
      </c>
    </row>
    <row r="43" spans="1:6" ht="14.25" customHeight="1" x14ac:dyDescent="0.3"/>
    <row r="44" spans="1:6" ht="14.25" customHeight="1" x14ac:dyDescent="0.3"/>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9"/>
  <dimension ref="A1:G1000"/>
  <sheetViews>
    <sheetView workbookViewId="0"/>
  </sheetViews>
  <sheetFormatPr baseColWidth="10" defaultColWidth="14.44140625" defaultRowHeight="15" customHeight="1" x14ac:dyDescent="0.3"/>
  <cols>
    <col min="1" max="1" width="10.6640625" customWidth="1"/>
    <col min="2" max="2" width="19.6640625" customWidth="1"/>
    <col min="3" max="3" width="10.6640625" customWidth="1"/>
    <col min="4" max="4" width="17.6640625" customWidth="1"/>
    <col min="5" max="6" width="10.6640625" customWidth="1"/>
    <col min="7" max="7" width="26.33203125" customWidth="1"/>
  </cols>
  <sheetData>
    <row r="1" spans="1:7" ht="14.25" customHeight="1" x14ac:dyDescent="0.3">
      <c r="A1" s="175" t="s">
        <v>473</v>
      </c>
      <c r="B1" s="176" t="s">
        <v>474</v>
      </c>
      <c r="C1" s="176" t="s">
        <v>475</v>
      </c>
      <c r="D1" s="176" t="s">
        <v>813</v>
      </c>
      <c r="E1" s="177" t="s">
        <v>737</v>
      </c>
    </row>
    <row r="2" spans="1:7" ht="14.25" customHeight="1" x14ac:dyDescent="0.3">
      <c r="A2" s="178">
        <v>1</v>
      </c>
      <c r="B2" s="179" t="s">
        <v>481</v>
      </c>
      <c r="C2" s="179" t="s">
        <v>482</v>
      </c>
      <c r="D2" s="179">
        <v>0</v>
      </c>
      <c r="E2" s="180" t="s">
        <v>151</v>
      </c>
    </row>
    <row r="3" spans="1:7" ht="14.25" customHeight="1" x14ac:dyDescent="0.3">
      <c r="A3" s="40">
        <v>2</v>
      </c>
      <c r="B3" s="183" t="s">
        <v>481</v>
      </c>
      <c r="C3" s="183" t="s">
        <v>154</v>
      </c>
      <c r="D3" s="183">
        <v>0</v>
      </c>
      <c r="E3" s="37" t="s">
        <v>151</v>
      </c>
    </row>
    <row r="4" spans="1:7" ht="14.25" customHeight="1" x14ac:dyDescent="0.3">
      <c r="A4" s="178">
        <v>3</v>
      </c>
      <c r="B4" s="183" t="s">
        <v>481</v>
      </c>
      <c r="C4" s="183" t="s">
        <v>486</v>
      </c>
      <c r="D4" s="183">
        <v>0</v>
      </c>
      <c r="E4" s="37" t="s">
        <v>151</v>
      </c>
      <c r="G4" s="217"/>
    </row>
    <row r="5" spans="1:7" ht="14.25" customHeight="1" x14ac:dyDescent="0.3">
      <c r="A5" s="40">
        <v>4</v>
      </c>
      <c r="B5" s="183" t="s">
        <v>481</v>
      </c>
      <c r="C5" s="183" t="s">
        <v>490</v>
      </c>
      <c r="D5" s="183">
        <v>0</v>
      </c>
      <c r="E5" s="37" t="s">
        <v>151</v>
      </c>
      <c r="G5" s="217"/>
    </row>
    <row r="6" spans="1:7" ht="14.25" customHeight="1" x14ac:dyDescent="0.3">
      <c r="A6" s="178">
        <v>5</v>
      </c>
      <c r="B6" s="183" t="s">
        <v>481</v>
      </c>
      <c r="C6" s="183" t="s">
        <v>431</v>
      </c>
      <c r="D6" s="183">
        <v>0</v>
      </c>
      <c r="E6" s="37" t="s">
        <v>151</v>
      </c>
      <c r="G6" s="217"/>
    </row>
    <row r="7" spans="1:7" ht="14.25" customHeight="1" x14ac:dyDescent="0.3">
      <c r="A7" s="40">
        <v>6</v>
      </c>
      <c r="B7" s="183" t="s">
        <v>481</v>
      </c>
      <c r="C7" s="183" t="s">
        <v>160</v>
      </c>
      <c r="D7" s="183">
        <v>0</v>
      </c>
      <c r="E7" s="37" t="s">
        <v>151</v>
      </c>
      <c r="G7" s="217"/>
    </row>
    <row r="8" spans="1:7" ht="14.25" customHeight="1" x14ac:dyDescent="0.3">
      <c r="A8" s="178">
        <v>7</v>
      </c>
      <c r="B8" s="183" t="s">
        <v>481</v>
      </c>
      <c r="C8" s="183" t="s">
        <v>495</v>
      </c>
      <c r="D8" s="183">
        <v>0</v>
      </c>
      <c r="E8" s="37" t="s">
        <v>151</v>
      </c>
      <c r="G8" s="217"/>
    </row>
    <row r="9" spans="1:7" ht="14.25" customHeight="1" x14ac:dyDescent="0.3">
      <c r="A9" s="40">
        <v>8</v>
      </c>
      <c r="B9" s="183" t="s">
        <v>481</v>
      </c>
      <c r="C9" s="183" t="s">
        <v>496</v>
      </c>
      <c r="D9" s="183">
        <v>0</v>
      </c>
      <c r="E9" s="37" t="s">
        <v>151</v>
      </c>
      <c r="G9" s="217"/>
    </row>
    <row r="10" spans="1:7" ht="14.25" customHeight="1" x14ac:dyDescent="0.3">
      <c r="A10" s="178">
        <v>9</v>
      </c>
      <c r="B10" s="183" t="s">
        <v>497</v>
      </c>
      <c r="C10" s="183" t="s">
        <v>482</v>
      </c>
      <c r="D10" s="183">
        <v>0</v>
      </c>
      <c r="E10" s="37" t="s">
        <v>151</v>
      </c>
      <c r="G10" s="217"/>
    </row>
    <row r="11" spans="1:7" ht="14.25" customHeight="1" x14ac:dyDescent="0.3">
      <c r="A11" s="40">
        <v>10</v>
      </c>
      <c r="B11" s="183" t="s">
        <v>497</v>
      </c>
      <c r="C11" s="183" t="s">
        <v>154</v>
      </c>
      <c r="D11" s="183">
        <v>0</v>
      </c>
      <c r="E11" s="37" t="s">
        <v>151</v>
      </c>
    </row>
    <row r="12" spans="1:7" ht="14.25" customHeight="1" x14ac:dyDescent="0.3">
      <c r="A12" s="178">
        <v>11</v>
      </c>
      <c r="B12" s="183" t="s">
        <v>497</v>
      </c>
      <c r="C12" s="183" t="s">
        <v>486</v>
      </c>
      <c r="D12" s="183">
        <v>0</v>
      </c>
      <c r="E12" s="37" t="s">
        <v>151</v>
      </c>
    </row>
    <row r="13" spans="1:7" ht="14.25" customHeight="1" x14ac:dyDescent="0.3">
      <c r="A13" s="40">
        <v>12</v>
      </c>
      <c r="B13" s="183" t="s">
        <v>497</v>
      </c>
      <c r="C13" s="183" t="s">
        <v>490</v>
      </c>
      <c r="D13" s="183">
        <v>0</v>
      </c>
      <c r="E13" s="37" t="s">
        <v>151</v>
      </c>
    </row>
    <row r="14" spans="1:7" ht="14.25" customHeight="1" x14ac:dyDescent="0.3">
      <c r="A14" s="178">
        <v>13</v>
      </c>
      <c r="B14" s="183" t="s">
        <v>497</v>
      </c>
      <c r="C14" s="183" t="s">
        <v>431</v>
      </c>
      <c r="D14" s="183">
        <v>0</v>
      </c>
      <c r="E14" s="37" t="s">
        <v>151</v>
      </c>
    </row>
    <row r="15" spans="1:7" ht="14.25" customHeight="1" x14ac:dyDescent="0.3">
      <c r="A15" s="40">
        <v>14</v>
      </c>
      <c r="B15" s="183" t="s">
        <v>497</v>
      </c>
      <c r="C15" s="183" t="s">
        <v>160</v>
      </c>
      <c r="D15" s="183">
        <v>0</v>
      </c>
      <c r="E15" s="37" t="s">
        <v>151</v>
      </c>
    </row>
    <row r="16" spans="1:7" ht="14.25" customHeight="1" x14ac:dyDescent="0.3">
      <c r="A16" s="178">
        <v>15</v>
      </c>
      <c r="B16" s="183" t="s">
        <v>497</v>
      </c>
      <c r="C16" s="183" t="s">
        <v>495</v>
      </c>
      <c r="D16" s="183">
        <v>0</v>
      </c>
      <c r="E16" s="37" t="s">
        <v>151</v>
      </c>
    </row>
    <row r="17" spans="1:5" ht="14.25" customHeight="1" x14ac:dyDescent="0.3">
      <c r="A17" s="40">
        <v>16</v>
      </c>
      <c r="B17" s="183" t="s">
        <v>497</v>
      </c>
      <c r="C17" s="183" t="s">
        <v>496</v>
      </c>
      <c r="D17" s="183">
        <v>0</v>
      </c>
      <c r="E17" s="37" t="s">
        <v>151</v>
      </c>
    </row>
    <row r="18" spans="1:5" ht="14.25" customHeight="1" x14ac:dyDescent="0.3">
      <c r="A18" s="178">
        <v>17</v>
      </c>
      <c r="B18" s="183" t="s">
        <v>138</v>
      </c>
      <c r="C18" s="183" t="s">
        <v>482</v>
      </c>
      <c r="D18" s="183">
        <v>0</v>
      </c>
      <c r="E18" s="37" t="s">
        <v>151</v>
      </c>
    </row>
    <row r="19" spans="1:5" ht="14.25" customHeight="1" x14ac:dyDescent="0.3">
      <c r="A19" s="40">
        <v>18</v>
      </c>
      <c r="B19" s="183" t="s">
        <v>138</v>
      </c>
      <c r="C19" s="183" t="s">
        <v>154</v>
      </c>
      <c r="D19" s="183">
        <v>0</v>
      </c>
      <c r="E19" s="37" t="s">
        <v>151</v>
      </c>
    </row>
    <row r="20" spans="1:5" ht="14.25" customHeight="1" x14ac:dyDescent="0.3">
      <c r="A20" s="178">
        <v>19</v>
      </c>
      <c r="B20" s="183" t="s">
        <v>138</v>
      </c>
      <c r="C20" s="183" t="s">
        <v>486</v>
      </c>
      <c r="D20" s="183">
        <v>0</v>
      </c>
      <c r="E20" s="37" t="s">
        <v>151</v>
      </c>
    </row>
    <row r="21" spans="1:5" ht="14.25" customHeight="1" x14ac:dyDescent="0.3">
      <c r="A21" s="40">
        <v>20</v>
      </c>
      <c r="B21" s="183" t="s">
        <v>138</v>
      </c>
      <c r="C21" s="183" t="s">
        <v>490</v>
      </c>
      <c r="D21" s="183">
        <v>0</v>
      </c>
      <c r="E21" s="37" t="s">
        <v>151</v>
      </c>
    </row>
    <row r="22" spans="1:5" ht="14.25" customHeight="1" x14ac:dyDescent="0.3">
      <c r="A22" s="178">
        <v>21</v>
      </c>
      <c r="B22" s="183" t="s">
        <v>138</v>
      </c>
      <c r="C22" s="183" t="s">
        <v>431</v>
      </c>
      <c r="D22" s="183">
        <v>0</v>
      </c>
      <c r="E22" s="37" t="s">
        <v>151</v>
      </c>
    </row>
    <row r="23" spans="1:5" ht="14.25" customHeight="1" x14ac:dyDescent="0.3">
      <c r="A23" s="40">
        <v>22</v>
      </c>
      <c r="B23" s="183" t="s">
        <v>138</v>
      </c>
      <c r="C23" s="183" t="s">
        <v>160</v>
      </c>
      <c r="D23" s="183">
        <v>0</v>
      </c>
      <c r="E23" s="37" t="s">
        <v>151</v>
      </c>
    </row>
    <row r="24" spans="1:5" ht="14.25" customHeight="1" x14ac:dyDescent="0.3">
      <c r="A24" s="178">
        <v>23</v>
      </c>
      <c r="B24" s="183" t="s">
        <v>138</v>
      </c>
      <c r="C24" s="183" t="s">
        <v>495</v>
      </c>
      <c r="D24" s="183">
        <v>0</v>
      </c>
      <c r="E24" s="37" t="s">
        <v>151</v>
      </c>
    </row>
    <row r="25" spans="1:5" ht="14.25" customHeight="1" x14ac:dyDescent="0.3">
      <c r="A25" s="40">
        <v>24</v>
      </c>
      <c r="B25" s="183" t="s">
        <v>138</v>
      </c>
      <c r="C25" s="183" t="s">
        <v>496</v>
      </c>
      <c r="D25" s="183">
        <v>0</v>
      </c>
      <c r="E25" s="37" t="s">
        <v>151</v>
      </c>
    </row>
    <row r="26" spans="1:5" ht="14.25" customHeight="1" x14ac:dyDescent="0.3">
      <c r="A26" s="178">
        <v>25</v>
      </c>
      <c r="B26" s="183" t="s">
        <v>155</v>
      </c>
      <c r="C26" s="183" t="s">
        <v>482</v>
      </c>
      <c r="D26" s="183">
        <v>0</v>
      </c>
      <c r="E26" s="37" t="s">
        <v>151</v>
      </c>
    </row>
    <row r="27" spans="1:5" ht="14.25" customHeight="1" x14ac:dyDescent="0.3">
      <c r="A27" s="40">
        <v>26</v>
      </c>
      <c r="B27" s="183" t="s">
        <v>155</v>
      </c>
      <c r="C27" s="183" t="s">
        <v>154</v>
      </c>
      <c r="D27" s="183">
        <v>0</v>
      </c>
      <c r="E27" s="37" t="s">
        <v>151</v>
      </c>
    </row>
    <row r="28" spans="1:5" ht="14.25" customHeight="1" x14ac:dyDescent="0.3">
      <c r="A28" s="178">
        <v>27</v>
      </c>
      <c r="B28" s="183" t="s">
        <v>155</v>
      </c>
      <c r="C28" s="183" t="s">
        <v>486</v>
      </c>
      <c r="D28" s="183">
        <v>0</v>
      </c>
      <c r="E28" s="37" t="s">
        <v>151</v>
      </c>
    </row>
    <row r="29" spans="1:5" ht="14.25" customHeight="1" x14ac:dyDescent="0.3">
      <c r="A29" s="40">
        <v>28</v>
      </c>
      <c r="B29" s="183" t="s">
        <v>155</v>
      </c>
      <c r="C29" s="183" t="s">
        <v>490</v>
      </c>
      <c r="D29" s="183">
        <v>0</v>
      </c>
      <c r="E29" s="37" t="s">
        <v>151</v>
      </c>
    </row>
    <row r="30" spans="1:5" ht="14.25" customHeight="1" x14ac:dyDescent="0.3">
      <c r="A30" s="178">
        <v>29</v>
      </c>
      <c r="B30" s="183" t="s">
        <v>155</v>
      </c>
      <c r="C30" s="183" t="s">
        <v>431</v>
      </c>
      <c r="D30" s="183">
        <v>0</v>
      </c>
      <c r="E30" s="37" t="s">
        <v>151</v>
      </c>
    </row>
    <row r="31" spans="1:5" ht="14.25" customHeight="1" x14ac:dyDescent="0.3">
      <c r="A31" s="40">
        <v>30</v>
      </c>
      <c r="B31" s="183" t="s">
        <v>155</v>
      </c>
      <c r="C31" s="183" t="s">
        <v>160</v>
      </c>
      <c r="D31" s="183">
        <v>0</v>
      </c>
      <c r="E31" s="37" t="s">
        <v>151</v>
      </c>
    </row>
    <row r="32" spans="1:5" ht="14.25" customHeight="1" x14ac:dyDescent="0.3">
      <c r="A32" s="178">
        <v>31</v>
      </c>
      <c r="B32" s="183" t="s">
        <v>155</v>
      </c>
      <c r="C32" s="183" t="s">
        <v>495</v>
      </c>
      <c r="D32" s="183">
        <v>0</v>
      </c>
      <c r="E32" s="37" t="s">
        <v>151</v>
      </c>
    </row>
    <row r="33" spans="1:5" ht="14.25" customHeight="1" x14ac:dyDescent="0.3">
      <c r="A33" s="40">
        <v>32</v>
      </c>
      <c r="B33" s="191" t="s">
        <v>155</v>
      </c>
      <c r="C33" s="191" t="s">
        <v>496</v>
      </c>
      <c r="D33" s="191">
        <v>0</v>
      </c>
      <c r="E33" s="211" t="s">
        <v>151</v>
      </c>
    </row>
    <row r="34" spans="1:5" ht="14.25" customHeight="1" x14ac:dyDescent="0.3">
      <c r="A34" s="178">
        <v>33</v>
      </c>
      <c r="B34" s="193" t="s">
        <v>509</v>
      </c>
      <c r="C34" s="193" t="s">
        <v>482</v>
      </c>
      <c r="D34" s="193" t="s">
        <v>487</v>
      </c>
      <c r="E34" s="33" t="s">
        <v>151</v>
      </c>
    </row>
    <row r="35" spans="1:5" ht="14.25" customHeight="1" x14ac:dyDescent="0.3">
      <c r="A35" s="40">
        <v>34</v>
      </c>
      <c r="B35" s="183" t="s">
        <v>509</v>
      </c>
      <c r="C35" s="183" t="s">
        <v>154</v>
      </c>
      <c r="D35" s="183" t="s">
        <v>487</v>
      </c>
      <c r="E35" s="37" t="s">
        <v>151</v>
      </c>
    </row>
    <row r="36" spans="1:5" ht="14.25" customHeight="1" x14ac:dyDescent="0.3">
      <c r="A36" s="178">
        <v>35</v>
      </c>
      <c r="B36" s="183" t="s">
        <v>509</v>
      </c>
      <c r="C36" s="183" t="s">
        <v>486</v>
      </c>
      <c r="D36" s="183" t="s">
        <v>487</v>
      </c>
      <c r="E36" s="37" t="s">
        <v>151</v>
      </c>
    </row>
    <row r="37" spans="1:5" ht="14.25" customHeight="1" x14ac:dyDescent="0.3">
      <c r="A37" s="40">
        <v>36</v>
      </c>
      <c r="B37" s="183" t="s">
        <v>509</v>
      </c>
      <c r="C37" s="183" t="s">
        <v>490</v>
      </c>
      <c r="D37" s="183" t="s">
        <v>487</v>
      </c>
      <c r="E37" s="37" t="s">
        <v>151</v>
      </c>
    </row>
    <row r="38" spans="1:5" ht="14.25" customHeight="1" x14ac:dyDescent="0.3">
      <c r="A38" s="178">
        <v>37</v>
      </c>
      <c r="B38" s="183" t="s">
        <v>509</v>
      </c>
      <c r="C38" s="183" t="s">
        <v>431</v>
      </c>
      <c r="D38" s="183" t="s">
        <v>487</v>
      </c>
      <c r="E38" s="37" t="s">
        <v>151</v>
      </c>
    </row>
    <row r="39" spans="1:5" ht="14.25" customHeight="1" x14ac:dyDescent="0.3">
      <c r="A39" s="40">
        <v>38</v>
      </c>
      <c r="B39" s="183" t="s">
        <v>509</v>
      </c>
      <c r="C39" s="183" t="s">
        <v>160</v>
      </c>
      <c r="D39" s="183" t="s">
        <v>487</v>
      </c>
      <c r="E39" s="37" t="s">
        <v>151</v>
      </c>
    </row>
    <row r="40" spans="1:5" ht="14.25" customHeight="1" x14ac:dyDescent="0.3">
      <c r="A40" s="178">
        <v>39</v>
      </c>
      <c r="B40" s="183" t="s">
        <v>509</v>
      </c>
      <c r="C40" s="183" t="s">
        <v>495</v>
      </c>
      <c r="D40" s="183" t="s">
        <v>487</v>
      </c>
      <c r="E40" s="37" t="s">
        <v>151</v>
      </c>
    </row>
    <row r="41" spans="1:5" ht="14.25" customHeight="1" x14ac:dyDescent="0.3">
      <c r="A41" s="40">
        <v>40</v>
      </c>
      <c r="B41" s="194" t="s">
        <v>509</v>
      </c>
      <c r="C41" s="194" t="s">
        <v>496</v>
      </c>
      <c r="D41" s="194" t="s">
        <v>487</v>
      </c>
      <c r="E41" s="43" t="s">
        <v>151</v>
      </c>
    </row>
    <row r="42" spans="1:5" ht="14.25" customHeight="1" x14ac:dyDescent="0.3">
      <c r="A42" s="178">
        <v>41</v>
      </c>
      <c r="B42" s="179" t="s">
        <v>481</v>
      </c>
      <c r="C42" s="179" t="s">
        <v>482</v>
      </c>
      <c r="D42" s="179">
        <v>15</v>
      </c>
      <c r="E42" s="180" t="s">
        <v>150</v>
      </c>
    </row>
    <row r="43" spans="1:5" ht="14.25" customHeight="1" x14ac:dyDescent="0.3">
      <c r="A43" s="40">
        <v>42</v>
      </c>
      <c r="B43" s="183" t="s">
        <v>481</v>
      </c>
      <c r="C43" s="183" t="s">
        <v>154</v>
      </c>
      <c r="D43" s="183">
        <v>15</v>
      </c>
      <c r="E43" s="37" t="s">
        <v>150</v>
      </c>
    </row>
    <row r="44" spans="1:5" ht="14.25" customHeight="1" x14ac:dyDescent="0.3">
      <c r="A44" s="178">
        <v>43</v>
      </c>
      <c r="B44" s="183" t="s">
        <v>481</v>
      </c>
      <c r="C44" s="183" t="s">
        <v>486</v>
      </c>
      <c r="D44" s="183">
        <v>15</v>
      </c>
      <c r="E44" s="37" t="s">
        <v>150</v>
      </c>
    </row>
    <row r="45" spans="1:5" ht="14.25" customHeight="1" x14ac:dyDescent="0.3">
      <c r="A45" s="40">
        <v>44</v>
      </c>
      <c r="B45" s="183" t="s">
        <v>481</v>
      </c>
      <c r="C45" s="183" t="s">
        <v>490</v>
      </c>
      <c r="D45" s="183">
        <v>15</v>
      </c>
      <c r="E45" s="37" t="s">
        <v>150</v>
      </c>
    </row>
    <row r="46" spans="1:5" ht="14.25" customHeight="1" x14ac:dyDescent="0.3">
      <c r="A46" s="178">
        <v>45</v>
      </c>
      <c r="B46" s="183" t="s">
        <v>481</v>
      </c>
      <c r="C46" s="183" t="s">
        <v>431</v>
      </c>
      <c r="D46" s="183">
        <v>15</v>
      </c>
      <c r="E46" s="37" t="s">
        <v>150</v>
      </c>
    </row>
    <row r="47" spans="1:5" ht="14.25" customHeight="1" x14ac:dyDescent="0.3">
      <c r="A47" s="40">
        <v>46</v>
      </c>
      <c r="B47" s="183" t="s">
        <v>481</v>
      </c>
      <c r="C47" s="183" t="s">
        <v>160</v>
      </c>
      <c r="D47" s="183">
        <v>15</v>
      </c>
      <c r="E47" s="37" t="s">
        <v>150</v>
      </c>
    </row>
    <row r="48" spans="1:5" ht="14.25" customHeight="1" x14ac:dyDescent="0.3">
      <c r="A48" s="178">
        <v>47</v>
      </c>
      <c r="B48" s="183" t="s">
        <v>481</v>
      </c>
      <c r="C48" s="183" t="s">
        <v>495</v>
      </c>
      <c r="D48" s="183">
        <v>15</v>
      </c>
      <c r="E48" s="37" t="s">
        <v>150</v>
      </c>
    </row>
    <row r="49" spans="1:5" ht="14.25" customHeight="1" x14ac:dyDescent="0.3">
      <c r="A49" s="40">
        <v>48</v>
      </c>
      <c r="B49" s="183" t="s">
        <v>481</v>
      </c>
      <c r="C49" s="183" t="s">
        <v>496</v>
      </c>
      <c r="D49" s="183">
        <v>15</v>
      </c>
      <c r="E49" s="37" t="s">
        <v>150</v>
      </c>
    </row>
    <row r="50" spans="1:5" ht="14.25" customHeight="1" x14ac:dyDescent="0.3">
      <c r="A50" s="178">
        <v>49</v>
      </c>
      <c r="B50" s="183" t="s">
        <v>497</v>
      </c>
      <c r="C50" s="183" t="s">
        <v>482</v>
      </c>
      <c r="D50" s="183">
        <v>15</v>
      </c>
      <c r="E50" s="37" t="s">
        <v>150</v>
      </c>
    </row>
    <row r="51" spans="1:5" ht="14.25" customHeight="1" x14ac:dyDescent="0.3">
      <c r="A51" s="40">
        <v>50</v>
      </c>
      <c r="B51" s="183" t="s">
        <v>497</v>
      </c>
      <c r="C51" s="183" t="s">
        <v>154</v>
      </c>
      <c r="D51" s="183">
        <v>15</v>
      </c>
      <c r="E51" s="37" t="s">
        <v>150</v>
      </c>
    </row>
    <row r="52" spans="1:5" ht="14.25" customHeight="1" x14ac:dyDescent="0.3">
      <c r="A52" s="178">
        <v>51</v>
      </c>
      <c r="B52" s="183" t="s">
        <v>497</v>
      </c>
      <c r="C52" s="183" t="s">
        <v>486</v>
      </c>
      <c r="D52" s="183">
        <v>15</v>
      </c>
      <c r="E52" s="37" t="s">
        <v>150</v>
      </c>
    </row>
    <row r="53" spans="1:5" ht="14.25" customHeight="1" x14ac:dyDescent="0.3">
      <c r="A53" s="40">
        <v>52</v>
      </c>
      <c r="B53" s="183" t="s">
        <v>497</v>
      </c>
      <c r="C53" s="183" t="s">
        <v>490</v>
      </c>
      <c r="D53" s="183">
        <v>15</v>
      </c>
      <c r="E53" s="37" t="s">
        <v>150</v>
      </c>
    </row>
    <row r="54" spans="1:5" ht="14.25" customHeight="1" x14ac:dyDescent="0.3">
      <c r="A54" s="178">
        <v>53</v>
      </c>
      <c r="B54" s="183" t="s">
        <v>497</v>
      </c>
      <c r="C54" s="183" t="s">
        <v>431</v>
      </c>
      <c r="D54" s="183">
        <v>15</v>
      </c>
      <c r="E54" s="37" t="s">
        <v>150</v>
      </c>
    </row>
    <row r="55" spans="1:5" ht="14.25" customHeight="1" x14ac:dyDescent="0.3">
      <c r="A55" s="40">
        <v>54</v>
      </c>
      <c r="B55" s="183" t="s">
        <v>497</v>
      </c>
      <c r="C55" s="183" t="s">
        <v>160</v>
      </c>
      <c r="D55" s="183">
        <v>15</v>
      </c>
      <c r="E55" s="37" t="s">
        <v>150</v>
      </c>
    </row>
    <row r="56" spans="1:5" ht="14.25" customHeight="1" x14ac:dyDescent="0.3">
      <c r="A56" s="178">
        <v>55</v>
      </c>
      <c r="B56" s="183" t="s">
        <v>497</v>
      </c>
      <c r="C56" s="183" t="s">
        <v>495</v>
      </c>
      <c r="D56" s="183">
        <v>15</v>
      </c>
      <c r="E56" s="37" t="s">
        <v>150</v>
      </c>
    </row>
    <row r="57" spans="1:5" ht="14.25" customHeight="1" x14ac:dyDescent="0.3">
      <c r="A57" s="40">
        <v>56</v>
      </c>
      <c r="B57" s="183" t="s">
        <v>497</v>
      </c>
      <c r="C57" s="183" t="s">
        <v>496</v>
      </c>
      <c r="D57" s="183">
        <v>15</v>
      </c>
      <c r="E57" s="37" t="s">
        <v>150</v>
      </c>
    </row>
    <row r="58" spans="1:5" ht="14.25" customHeight="1" x14ac:dyDescent="0.3">
      <c r="A58" s="178">
        <v>57</v>
      </c>
      <c r="B58" s="183" t="s">
        <v>138</v>
      </c>
      <c r="C58" s="183" t="s">
        <v>482</v>
      </c>
      <c r="D58" s="183">
        <v>15</v>
      </c>
      <c r="E58" s="37" t="s">
        <v>150</v>
      </c>
    </row>
    <row r="59" spans="1:5" ht="14.25" customHeight="1" x14ac:dyDescent="0.3">
      <c r="A59" s="40">
        <v>58</v>
      </c>
      <c r="B59" s="183" t="s">
        <v>138</v>
      </c>
      <c r="C59" s="183" t="s">
        <v>154</v>
      </c>
      <c r="D59" s="183">
        <v>15</v>
      </c>
      <c r="E59" s="37" t="s">
        <v>150</v>
      </c>
    </row>
    <row r="60" spans="1:5" ht="14.25" customHeight="1" x14ac:dyDescent="0.3">
      <c r="A60" s="178">
        <v>59</v>
      </c>
      <c r="B60" s="183" t="s">
        <v>138</v>
      </c>
      <c r="C60" s="183" t="s">
        <v>486</v>
      </c>
      <c r="D60" s="183">
        <v>15</v>
      </c>
      <c r="E60" s="37" t="s">
        <v>150</v>
      </c>
    </row>
    <row r="61" spans="1:5" ht="14.25" customHeight="1" x14ac:dyDescent="0.3">
      <c r="A61" s="40">
        <v>60</v>
      </c>
      <c r="B61" s="183" t="s">
        <v>138</v>
      </c>
      <c r="C61" s="183" t="s">
        <v>490</v>
      </c>
      <c r="D61" s="183">
        <v>15</v>
      </c>
      <c r="E61" s="37" t="s">
        <v>150</v>
      </c>
    </row>
    <row r="62" spans="1:5" ht="14.25" customHeight="1" x14ac:dyDescent="0.3">
      <c r="A62" s="178">
        <v>61</v>
      </c>
      <c r="B62" s="183" t="s">
        <v>138</v>
      </c>
      <c r="C62" s="183" t="s">
        <v>431</v>
      </c>
      <c r="D62" s="183">
        <v>15</v>
      </c>
      <c r="E62" s="37" t="s">
        <v>150</v>
      </c>
    </row>
    <row r="63" spans="1:5" ht="14.25" customHeight="1" x14ac:dyDescent="0.3">
      <c r="A63" s="40">
        <v>62</v>
      </c>
      <c r="B63" s="183" t="s">
        <v>138</v>
      </c>
      <c r="C63" s="183" t="s">
        <v>160</v>
      </c>
      <c r="D63" s="183">
        <v>15</v>
      </c>
      <c r="E63" s="37" t="s">
        <v>150</v>
      </c>
    </row>
    <row r="64" spans="1:5" ht="14.25" customHeight="1" x14ac:dyDescent="0.3">
      <c r="A64" s="178">
        <v>63</v>
      </c>
      <c r="B64" s="183" t="s">
        <v>138</v>
      </c>
      <c r="C64" s="183" t="s">
        <v>495</v>
      </c>
      <c r="D64" s="183">
        <v>15</v>
      </c>
      <c r="E64" s="37" t="s">
        <v>150</v>
      </c>
    </row>
    <row r="65" spans="1:5" ht="14.25" customHeight="1" x14ac:dyDescent="0.3">
      <c r="A65" s="40">
        <v>64</v>
      </c>
      <c r="B65" s="183" t="s">
        <v>138</v>
      </c>
      <c r="C65" s="183" t="s">
        <v>496</v>
      </c>
      <c r="D65" s="183">
        <v>15</v>
      </c>
      <c r="E65" s="37" t="s">
        <v>150</v>
      </c>
    </row>
    <row r="66" spans="1:5" ht="14.25" customHeight="1" x14ac:dyDescent="0.3">
      <c r="A66" s="178">
        <v>65</v>
      </c>
      <c r="B66" s="183" t="s">
        <v>155</v>
      </c>
      <c r="C66" s="183" t="s">
        <v>482</v>
      </c>
      <c r="D66" s="183">
        <v>15</v>
      </c>
      <c r="E66" s="37" t="s">
        <v>150</v>
      </c>
    </row>
    <row r="67" spans="1:5" ht="14.25" customHeight="1" x14ac:dyDescent="0.3">
      <c r="A67" s="40">
        <v>66</v>
      </c>
      <c r="B67" s="183" t="s">
        <v>155</v>
      </c>
      <c r="C67" s="183" t="s">
        <v>154</v>
      </c>
      <c r="D67" s="183">
        <v>15</v>
      </c>
      <c r="E67" s="37" t="s">
        <v>150</v>
      </c>
    </row>
    <row r="68" spans="1:5" ht="14.25" customHeight="1" x14ac:dyDescent="0.3">
      <c r="A68" s="178">
        <v>67</v>
      </c>
      <c r="B68" s="183" t="s">
        <v>155</v>
      </c>
      <c r="C68" s="183" t="s">
        <v>486</v>
      </c>
      <c r="D68" s="183">
        <v>15</v>
      </c>
      <c r="E68" s="37" t="s">
        <v>150</v>
      </c>
    </row>
    <row r="69" spans="1:5" ht="14.25" customHeight="1" x14ac:dyDescent="0.3">
      <c r="A69" s="40">
        <v>68</v>
      </c>
      <c r="B69" s="183" t="s">
        <v>155</v>
      </c>
      <c r="C69" s="183" t="s">
        <v>490</v>
      </c>
      <c r="D69" s="183">
        <v>15</v>
      </c>
      <c r="E69" s="37" t="s">
        <v>150</v>
      </c>
    </row>
    <row r="70" spans="1:5" ht="14.25" customHeight="1" x14ac:dyDescent="0.3">
      <c r="A70" s="178">
        <v>69</v>
      </c>
      <c r="B70" s="183" t="s">
        <v>155</v>
      </c>
      <c r="C70" s="183" t="s">
        <v>431</v>
      </c>
      <c r="D70" s="183">
        <v>15</v>
      </c>
      <c r="E70" s="37" t="s">
        <v>150</v>
      </c>
    </row>
    <row r="71" spans="1:5" ht="14.25" customHeight="1" x14ac:dyDescent="0.3">
      <c r="A71" s="40">
        <v>70</v>
      </c>
      <c r="B71" s="183" t="s">
        <v>155</v>
      </c>
      <c r="C71" s="183" t="s">
        <v>160</v>
      </c>
      <c r="D71" s="183">
        <v>15</v>
      </c>
      <c r="E71" s="37" t="s">
        <v>150</v>
      </c>
    </row>
    <row r="72" spans="1:5" ht="14.25" customHeight="1" x14ac:dyDescent="0.3">
      <c r="A72" s="178">
        <v>71</v>
      </c>
      <c r="B72" s="183" t="s">
        <v>155</v>
      </c>
      <c r="C72" s="183" t="s">
        <v>495</v>
      </c>
      <c r="D72" s="183">
        <v>15</v>
      </c>
      <c r="E72" s="37" t="s">
        <v>150</v>
      </c>
    </row>
    <row r="73" spans="1:5" ht="14.25" customHeight="1" x14ac:dyDescent="0.3">
      <c r="A73" s="40">
        <v>72</v>
      </c>
      <c r="B73" s="191" t="s">
        <v>155</v>
      </c>
      <c r="C73" s="191" t="s">
        <v>496</v>
      </c>
      <c r="D73" s="191">
        <v>15</v>
      </c>
      <c r="E73" s="211" t="s">
        <v>150</v>
      </c>
    </row>
    <row r="74" spans="1:5" ht="14.25" customHeight="1" x14ac:dyDescent="0.3">
      <c r="A74" s="178">
        <v>73</v>
      </c>
      <c r="B74" s="193" t="s">
        <v>509</v>
      </c>
      <c r="C74" s="315" t="s">
        <v>482</v>
      </c>
      <c r="D74" s="316" t="s">
        <v>487</v>
      </c>
      <c r="E74" s="317" t="s">
        <v>151</v>
      </c>
    </row>
    <row r="75" spans="1:5" ht="14.25" customHeight="1" x14ac:dyDescent="0.3">
      <c r="A75" s="40">
        <v>74</v>
      </c>
      <c r="B75" s="183" t="s">
        <v>509</v>
      </c>
      <c r="C75" s="272" t="s">
        <v>154</v>
      </c>
      <c r="D75" s="14" t="s">
        <v>487</v>
      </c>
      <c r="E75" s="20" t="s">
        <v>151</v>
      </c>
    </row>
    <row r="76" spans="1:5" ht="14.25" customHeight="1" x14ac:dyDescent="0.3">
      <c r="A76" s="178">
        <v>75</v>
      </c>
      <c r="B76" s="183" t="s">
        <v>509</v>
      </c>
      <c r="C76" s="272" t="s">
        <v>486</v>
      </c>
      <c r="D76" s="14" t="s">
        <v>487</v>
      </c>
      <c r="E76" s="20" t="s">
        <v>151</v>
      </c>
    </row>
    <row r="77" spans="1:5" ht="14.25" customHeight="1" x14ac:dyDescent="0.3">
      <c r="A77" s="40">
        <v>76</v>
      </c>
      <c r="B77" s="183" t="s">
        <v>509</v>
      </c>
      <c r="C77" s="272" t="s">
        <v>490</v>
      </c>
      <c r="D77" s="14" t="s">
        <v>487</v>
      </c>
      <c r="E77" s="20" t="s">
        <v>151</v>
      </c>
    </row>
    <row r="78" spans="1:5" ht="14.25" customHeight="1" x14ac:dyDescent="0.3">
      <c r="A78" s="178">
        <v>77</v>
      </c>
      <c r="B78" s="183" t="s">
        <v>509</v>
      </c>
      <c r="C78" s="272" t="s">
        <v>431</v>
      </c>
      <c r="D78" s="14" t="s">
        <v>487</v>
      </c>
      <c r="E78" s="20" t="s">
        <v>151</v>
      </c>
    </row>
    <row r="79" spans="1:5" ht="14.25" customHeight="1" x14ac:dyDescent="0.3">
      <c r="A79" s="40">
        <v>78</v>
      </c>
      <c r="B79" s="183" t="s">
        <v>509</v>
      </c>
      <c r="C79" s="272" t="s">
        <v>160</v>
      </c>
      <c r="D79" s="14" t="s">
        <v>487</v>
      </c>
      <c r="E79" s="20" t="s">
        <v>151</v>
      </c>
    </row>
    <row r="80" spans="1:5" ht="14.25" customHeight="1" x14ac:dyDescent="0.3">
      <c r="A80" s="178">
        <v>79</v>
      </c>
      <c r="B80" s="183" t="s">
        <v>509</v>
      </c>
      <c r="C80" s="272" t="s">
        <v>495</v>
      </c>
      <c r="D80" s="14" t="s">
        <v>487</v>
      </c>
      <c r="E80" s="20" t="s">
        <v>151</v>
      </c>
    </row>
    <row r="81" spans="1:5" ht="14.25" customHeight="1" x14ac:dyDescent="0.3">
      <c r="A81" s="40">
        <v>80</v>
      </c>
      <c r="B81" s="194" t="s">
        <v>509</v>
      </c>
      <c r="C81" s="318" t="s">
        <v>496</v>
      </c>
      <c r="D81" s="319" t="s">
        <v>487</v>
      </c>
      <c r="E81" s="111" t="s">
        <v>151</v>
      </c>
    </row>
    <row r="82" spans="1:5" ht="14.25" customHeight="1" x14ac:dyDescent="0.3"/>
    <row r="83" spans="1:5" ht="14.25" customHeight="1" x14ac:dyDescent="0.3"/>
    <row r="84" spans="1:5" ht="14.25" customHeight="1" x14ac:dyDescent="0.3"/>
    <row r="85" spans="1:5" ht="14.25" customHeight="1" x14ac:dyDescent="0.3"/>
    <row r="86" spans="1:5" ht="14.25" customHeight="1" x14ac:dyDescent="0.3"/>
    <row r="87" spans="1:5" ht="14.25" customHeight="1" x14ac:dyDescent="0.3"/>
    <row r="88" spans="1:5" ht="14.25" customHeight="1" x14ac:dyDescent="0.3"/>
    <row r="89" spans="1:5" ht="14.25" customHeight="1" x14ac:dyDescent="0.3"/>
    <row r="90" spans="1:5" ht="14.25" customHeight="1" x14ac:dyDescent="0.3"/>
    <row r="91" spans="1:5" ht="14.25" customHeight="1" x14ac:dyDescent="0.3"/>
    <row r="92" spans="1:5" ht="14.25" customHeight="1" x14ac:dyDescent="0.3"/>
    <row r="93" spans="1:5" ht="14.25" customHeight="1" x14ac:dyDescent="0.3"/>
    <row r="94" spans="1:5" ht="14.25" customHeight="1" x14ac:dyDescent="0.3"/>
    <row r="95" spans="1:5" ht="14.25" customHeight="1" x14ac:dyDescent="0.3"/>
    <row r="96" spans="1:5"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0"/>
  <dimension ref="A1:AD1000"/>
  <sheetViews>
    <sheetView workbookViewId="0"/>
  </sheetViews>
  <sheetFormatPr baseColWidth="10" defaultColWidth="14.44140625" defaultRowHeight="15" customHeight="1" x14ac:dyDescent="0.3"/>
  <cols>
    <col min="1" max="1" width="24" customWidth="1"/>
    <col min="2" max="2" width="17.5546875" customWidth="1"/>
    <col min="3" max="3" width="10.6640625" customWidth="1"/>
    <col min="4" max="4" width="16.33203125" customWidth="1"/>
    <col min="5" max="5" width="13.6640625" customWidth="1"/>
    <col min="6" max="6" width="10.6640625" customWidth="1"/>
    <col min="7" max="7" width="18.5546875" customWidth="1"/>
    <col min="8" max="8" width="15.6640625" customWidth="1"/>
    <col min="9" max="9" width="16.33203125" customWidth="1"/>
    <col min="10" max="10" width="76.109375" customWidth="1"/>
    <col min="11" max="13" width="85.88671875" customWidth="1"/>
    <col min="14" max="30" width="10.6640625" customWidth="1"/>
  </cols>
  <sheetData>
    <row r="1" spans="1:30" ht="14.25" customHeight="1" x14ac:dyDescent="0.3">
      <c r="A1" s="236" t="s">
        <v>814</v>
      </c>
      <c r="J1" s="160" t="s">
        <v>740</v>
      </c>
    </row>
    <row r="2" spans="1:30" ht="33.75" customHeight="1" x14ac:dyDescent="0.3">
      <c r="A2" s="175" t="s">
        <v>473</v>
      </c>
      <c r="B2" s="176" t="s">
        <v>474</v>
      </c>
      <c r="C2" s="176" t="s">
        <v>475</v>
      </c>
      <c r="D2" s="176" t="s">
        <v>735</v>
      </c>
      <c r="E2" s="176" t="s">
        <v>736</v>
      </c>
      <c r="F2" s="177" t="s">
        <v>737</v>
      </c>
      <c r="J2" s="166" t="s">
        <v>743</v>
      </c>
    </row>
    <row r="3" spans="1:30" ht="14.25" customHeight="1" x14ac:dyDescent="0.3">
      <c r="A3" s="178">
        <v>1</v>
      </c>
      <c r="B3" s="179" t="s">
        <v>481</v>
      </c>
      <c r="C3" s="179" t="s">
        <v>482</v>
      </c>
      <c r="D3" s="179" t="s">
        <v>236</v>
      </c>
      <c r="E3" s="179">
        <v>0</v>
      </c>
      <c r="F3" s="180" t="s">
        <v>151</v>
      </c>
    </row>
    <row r="4" spans="1:30" ht="119.25" customHeight="1" x14ac:dyDescent="0.3">
      <c r="A4" s="40">
        <v>2</v>
      </c>
      <c r="B4" s="183" t="s">
        <v>481</v>
      </c>
      <c r="C4" s="183" t="s">
        <v>154</v>
      </c>
      <c r="D4" s="179" t="s">
        <v>236</v>
      </c>
      <c r="E4" s="183">
        <v>0</v>
      </c>
      <c r="F4" s="37" t="s">
        <v>151</v>
      </c>
      <c r="J4" s="120" t="s">
        <v>815</v>
      </c>
      <c r="L4" s="275"/>
      <c r="M4" s="275"/>
      <c r="N4" s="275"/>
      <c r="O4" s="275"/>
      <c r="P4" s="275"/>
      <c r="Q4" s="275"/>
      <c r="R4" s="275"/>
      <c r="S4" s="275"/>
      <c r="T4" s="275"/>
      <c r="U4" s="275"/>
      <c r="V4" s="275"/>
      <c r="W4" s="275"/>
      <c r="X4" s="275"/>
      <c r="Y4" s="275"/>
      <c r="Z4" s="275"/>
      <c r="AA4" s="275"/>
      <c r="AB4" s="275"/>
      <c r="AC4" s="275"/>
      <c r="AD4" s="275"/>
    </row>
    <row r="5" spans="1:30" ht="27" customHeight="1" x14ac:dyDescent="0.3">
      <c r="A5" s="40">
        <v>3</v>
      </c>
      <c r="B5" s="183" t="s">
        <v>481</v>
      </c>
      <c r="C5" s="183" t="s">
        <v>486</v>
      </c>
      <c r="D5" s="179" t="s">
        <v>236</v>
      </c>
      <c r="E5" s="183">
        <v>500</v>
      </c>
      <c r="F5" s="37" t="s">
        <v>150</v>
      </c>
      <c r="K5" s="275"/>
    </row>
    <row r="6" spans="1:30" ht="33.75" customHeight="1" x14ac:dyDescent="0.3">
      <c r="A6" s="40">
        <v>4</v>
      </c>
      <c r="B6" s="183" t="s">
        <v>481</v>
      </c>
      <c r="C6" s="183" t="s">
        <v>490</v>
      </c>
      <c r="D6" s="179" t="s">
        <v>236</v>
      </c>
      <c r="E6" s="183">
        <v>500</v>
      </c>
      <c r="F6" s="37" t="s">
        <v>153</v>
      </c>
      <c r="J6" s="120" t="s">
        <v>816</v>
      </c>
      <c r="K6" s="320"/>
    </row>
    <row r="7" spans="1:30" ht="14.25" customHeight="1" x14ac:dyDescent="0.3">
      <c r="A7" s="40">
        <v>5</v>
      </c>
      <c r="B7" s="183" t="s">
        <v>481</v>
      </c>
      <c r="C7" s="183" t="s">
        <v>431</v>
      </c>
      <c r="D7" s="179" t="s">
        <v>236</v>
      </c>
      <c r="E7" s="183">
        <v>500</v>
      </c>
      <c r="F7" s="37" t="s">
        <v>150</v>
      </c>
    </row>
    <row r="8" spans="1:30" ht="11.25" customHeight="1" x14ac:dyDescent="0.3">
      <c r="A8" s="40">
        <v>6</v>
      </c>
      <c r="B8" s="183" t="s">
        <v>481</v>
      </c>
      <c r="C8" s="183" t="s">
        <v>160</v>
      </c>
      <c r="D8" s="179" t="s">
        <v>236</v>
      </c>
      <c r="E8" s="183">
        <v>500</v>
      </c>
      <c r="F8" s="37" t="s">
        <v>150</v>
      </c>
    </row>
    <row r="9" spans="1:30" ht="22.5" customHeight="1" x14ac:dyDescent="0.3">
      <c r="A9" s="40">
        <v>7</v>
      </c>
      <c r="B9" s="183" t="s">
        <v>481</v>
      </c>
      <c r="C9" s="183" t="s">
        <v>495</v>
      </c>
      <c r="D9" s="179" t="s">
        <v>236</v>
      </c>
      <c r="E9" s="183">
        <v>500</v>
      </c>
      <c r="F9" s="37" t="s">
        <v>150</v>
      </c>
    </row>
    <row r="10" spans="1:30" ht="23.25" customHeight="1" x14ac:dyDescent="0.3">
      <c r="A10" s="40">
        <v>8</v>
      </c>
      <c r="B10" s="183" t="s">
        <v>481</v>
      </c>
      <c r="C10" s="183" t="s">
        <v>496</v>
      </c>
      <c r="D10" s="179" t="s">
        <v>236</v>
      </c>
      <c r="E10" s="183">
        <v>500</v>
      </c>
      <c r="F10" s="37" t="s">
        <v>150</v>
      </c>
    </row>
    <row r="11" spans="1:30" ht="12" customHeight="1" x14ac:dyDescent="0.3">
      <c r="A11" s="40">
        <v>9</v>
      </c>
      <c r="B11" s="183" t="s">
        <v>497</v>
      </c>
      <c r="C11" s="183" t="s">
        <v>482</v>
      </c>
      <c r="D11" s="179" t="s">
        <v>236</v>
      </c>
      <c r="E11" s="183">
        <v>0</v>
      </c>
      <c r="F11" s="37" t="s">
        <v>151</v>
      </c>
    </row>
    <row r="12" spans="1:30" ht="15" customHeight="1" x14ac:dyDescent="0.3">
      <c r="A12" s="40">
        <v>10</v>
      </c>
      <c r="B12" s="183" t="s">
        <v>497</v>
      </c>
      <c r="C12" s="183" t="s">
        <v>154</v>
      </c>
      <c r="D12" s="179" t="s">
        <v>236</v>
      </c>
      <c r="E12" s="183">
        <v>0</v>
      </c>
      <c r="F12" s="37" t="s">
        <v>151</v>
      </c>
    </row>
    <row r="13" spans="1:30" ht="16.5" customHeight="1" x14ac:dyDescent="0.3">
      <c r="A13" s="40">
        <v>11</v>
      </c>
      <c r="B13" s="183" t="s">
        <v>497</v>
      </c>
      <c r="C13" s="183" t="s">
        <v>486</v>
      </c>
      <c r="D13" s="179" t="s">
        <v>236</v>
      </c>
      <c r="E13" s="183">
        <v>1500</v>
      </c>
      <c r="F13" s="37" t="s">
        <v>150</v>
      </c>
    </row>
    <row r="14" spans="1:30" ht="24" customHeight="1" x14ac:dyDescent="0.3">
      <c r="A14" s="40">
        <v>12</v>
      </c>
      <c r="B14" s="183" t="s">
        <v>497</v>
      </c>
      <c r="C14" s="183" t="s">
        <v>490</v>
      </c>
      <c r="D14" s="179" t="s">
        <v>236</v>
      </c>
      <c r="E14" s="183">
        <v>1500</v>
      </c>
      <c r="F14" s="37" t="s">
        <v>153</v>
      </c>
    </row>
    <row r="15" spans="1:30" ht="14.25" customHeight="1" x14ac:dyDescent="0.3">
      <c r="A15" s="40">
        <v>13</v>
      </c>
      <c r="B15" s="183" t="s">
        <v>497</v>
      </c>
      <c r="C15" s="183" t="s">
        <v>431</v>
      </c>
      <c r="D15" s="179" t="s">
        <v>236</v>
      </c>
      <c r="E15" s="183">
        <v>1500</v>
      </c>
      <c r="F15" s="37" t="s">
        <v>150</v>
      </c>
    </row>
    <row r="16" spans="1:30" ht="68.25" customHeight="1" x14ac:dyDescent="0.3">
      <c r="A16" s="40">
        <v>14</v>
      </c>
      <c r="B16" s="183" t="s">
        <v>497</v>
      </c>
      <c r="C16" s="183" t="s">
        <v>160</v>
      </c>
      <c r="D16" s="179" t="s">
        <v>236</v>
      </c>
      <c r="E16" s="183">
        <v>750</v>
      </c>
      <c r="F16" s="37" t="s">
        <v>150</v>
      </c>
    </row>
    <row r="17" spans="1:10" ht="14.25" customHeight="1" x14ac:dyDescent="0.3">
      <c r="A17" s="40">
        <v>15</v>
      </c>
      <c r="B17" s="183" t="s">
        <v>497</v>
      </c>
      <c r="C17" s="183" t="s">
        <v>495</v>
      </c>
      <c r="D17" s="179" t="s">
        <v>236</v>
      </c>
      <c r="E17" s="183">
        <v>750</v>
      </c>
      <c r="F17" s="37" t="s">
        <v>150</v>
      </c>
      <c r="J17" s="160" t="s">
        <v>817</v>
      </c>
    </row>
    <row r="18" spans="1:10" ht="14.25" customHeight="1" x14ac:dyDescent="0.3">
      <c r="A18" s="40">
        <v>16</v>
      </c>
      <c r="B18" s="183" t="s">
        <v>497</v>
      </c>
      <c r="C18" s="183" t="s">
        <v>496</v>
      </c>
      <c r="D18" s="179" t="s">
        <v>236</v>
      </c>
      <c r="E18" s="183">
        <v>750</v>
      </c>
      <c r="F18" s="37" t="s">
        <v>150</v>
      </c>
      <c r="J18" s="166" t="s">
        <v>818</v>
      </c>
    </row>
    <row r="19" spans="1:10" ht="14.25" customHeight="1" x14ac:dyDescent="0.3">
      <c r="A19" s="40">
        <v>17</v>
      </c>
      <c r="B19" s="183" t="s">
        <v>138</v>
      </c>
      <c r="C19" s="183" t="s">
        <v>482</v>
      </c>
      <c r="D19" s="179" t="s">
        <v>236</v>
      </c>
      <c r="E19" s="183">
        <v>0</v>
      </c>
      <c r="F19" s="37" t="s">
        <v>151</v>
      </c>
    </row>
    <row r="20" spans="1:10" ht="14.25" customHeight="1" x14ac:dyDescent="0.3">
      <c r="A20" s="40">
        <v>18</v>
      </c>
      <c r="B20" s="183" t="s">
        <v>138</v>
      </c>
      <c r="C20" s="183" t="s">
        <v>154</v>
      </c>
      <c r="D20" s="179" t="s">
        <v>236</v>
      </c>
      <c r="E20" s="183">
        <v>0</v>
      </c>
      <c r="F20" s="37" t="s">
        <v>151</v>
      </c>
      <c r="J20" s="160" t="s">
        <v>819</v>
      </c>
    </row>
    <row r="21" spans="1:10" ht="14.25" customHeight="1" x14ac:dyDescent="0.3">
      <c r="A21" s="40">
        <v>19</v>
      </c>
      <c r="B21" s="183" t="s">
        <v>138</v>
      </c>
      <c r="C21" s="183" t="s">
        <v>486</v>
      </c>
      <c r="D21" s="179" t="s">
        <v>236</v>
      </c>
      <c r="E21" s="183">
        <v>2500</v>
      </c>
      <c r="F21" s="37" t="s">
        <v>150</v>
      </c>
      <c r="J21" s="263" t="s">
        <v>820</v>
      </c>
    </row>
    <row r="22" spans="1:10" ht="14.25" customHeight="1" x14ac:dyDescent="0.3">
      <c r="A22" s="40">
        <v>20</v>
      </c>
      <c r="B22" s="183" t="s">
        <v>138</v>
      </c>
      <c r="C22" s="183" t="s">
        <v>490</v>
      </c>
      <c r="D22" s="179" t="s">
        <v>236</v>
      </c>
      <c r="E22" s="183">
        <v>2500</v>
      </c>
      <c r="F22" s="37" t="s">
        <v>153</v>
      </c>
      <c r="J22" s="321" t="s">
        <v>821</v>
      </c>
    </row>
    <row r="23" spans="1:10" ht="14.25" customHeight="1" x14ac:dyDescent="0.3">
      <c r="A23" s="40">
        <v>21</v>
      </c>
      <c r="B23" s="183" t="s">
        <v>138</v>
      </c>
      <c r="C23" s="183" t="s">
        <v>431</v>
      </c>
      <c r="D23" s="179" t="s">
        <v>236</v>
      </c>
      <c r="E23" s="183">
        <v>2500</v>
      </c>
      <c r="F23" s="37" t="s">
        <v>150</v>
      </c>
    </row>
    <row r="24" spans="1:10" ht="14.25" customHeight="1" x14ac:dyDescent="0.3">
      <c r="A24" s="40">
        <v>22</v>
      </c>
      <c r="B24" s="183" t="s">
        <v>138</v>
      </c>
      <c r="C24" s="183" t="s">
        <v>160</v>
      </c>
      <c r="D24" s="179" t="s">
        <v>236</v>
      </c>
      <c r="E24" s="183">
        <v>1000</v>
      </c>
      <c r="F24" s="37" t="s">
        <v>150</v>
      </c>
      <c r="J24" s="160" t="s">
        <v>822</v>
      </c>
    </row>
    <row r="25" spans="1:10" ht="14.25" customHeight="1" x14ac:dyDescent="0.3">
      <c r="A25" s="40">
        <v>23</v>
      </c>
      <c r="B25" s="183" t="s">
        <v>138</v>
      </c>
      <c r="C25" s="183" t="s">
        <v>495</v>
      </c>
      <c r="D25" s="179" t="s">
        <v>236</v>
      </c>
      <c r="E25" s="183">
        <v>1000</v>
      </c>
      <c r="F25" s="37" t="s">
        <v>150</v>
      </c>
      <c r="J25" s="263" t="s">
        <v>823</v>
      </c>
    </row>
    <row r="26" spans="1:10" ht="14.25" customHeight="1" x14ac:dyDescent="0.3">
      <c r="A26" s="40">
        <v>24</v>
      </c>
      <c r="B26" s="183" t="s">
        <v>138</v>
      </c>
      <c r="C26" s="183" t="s">
        <v>496</v>
      </c>
      <c r="D26" s="179" t="s">
        <v>236</v>
      </c>
      <c r="E26" s="183">
        <v>1000</v>
      </c>
      <c r="F26" s="37" t="s">
        <v>150</v>
      </c>
      <c r="J26" s="240" t="s">
        <v>824</v>
      </c>
    </row>
    <row r="27" spans="1:10" ht="14.25" customHeight="1" x14ac:dyDescent="0.3">
      <c r="A27" s="40">
        <v>25</v>
      </c>
      <c r="B27" s="183" t="s">
        <v>155</v>
      </c>
      <c r="C27" s="183" t="s">
        <v>482</v>
      </c>
      <c r="D27" s="179" t="s">
        <v>236</v>
      </c>
      <c r="E27" s="183">
        <v>0</v>
      </c>
      <c r="F27" s="37" t="s">
        <v>151</v>
      </c>
    </row>
    <row r="28" spans="1:10" ht="14.25" customHeight="1" x14ac:dyDescent="0.3">
      <c r="A28" s="40">
        <v>26</v>
      </c>
      <c r="B28" s="183" t="s">
        <v>155</v>
      </c>
      <c r="C28" s="183" t="s">
        <v>154</v>
      </c>
      <c r="D28" s="179" t="s">
        <v>236</v>
      </c>
      <c r="E28" s="183">
        <v>0</v>
      </c>
      <c r="F28" s="37" t="s">
        <v>151</v>
      </c>
      <c r="J28" s="322" t="s">
        <v>825</v>
      </c>
    </row>
    <row r="29" spans="1:10" ht="14.25" customHeight="1" x14ac:dyDescent="0.3">
      <c r="A29" s="40">
        <v>27</v>
      </c>
      <c r="B29" s="183" t="s">
        <v>155</v>
      </c>
      <c r="C29" s="183" t="s">
        <v>486</v>
      </c>
      <c r="D29" s="179" t="s">
        <v>236</v>
      </c>
      <c r="E29" s="183">
        <v>1000</v>
      </c>
      <c r="F29" s="37" t="s">
        <v>150</v>
      </c>
      <c r="J29" s="323" t="s">
        <v>826</v>
      </c>
    </row>
    <row r="30" spans="1:10" ht="14.25" customHeight="1" x14ac:dyDescent="0.3">
      <c r="A30" s="40">
        <v>28</v>
      </c>
      <c r="B30" s="183" t="s">
        <v>155</v>
      </c>
      <c r="C30" s="183" t="s">
        <v>490</v>
      </c>
      <c r="D30" s="179" t="s">
        <v>236</v>
      </c>
      <c r="E30" s="183">
        <v>1000</v>
      </c>
      <c r="F30" s="37" t="s">
        <v>150</v>
      </c>
      <c r="J30" s="240" t="s">
        <v>827</v>
      </c>
    </row>
    <row r="31" spans="1:10" ht="14.25" customHeight="1" x14ac:dyDescent="0.3">
      <c r="A31" s="40">
        <v>29</v>
      </c>
      <c r="B31" s="183" t="s">
        <v>155</v>
      </c>
      <c r="C31" s="183" t="s">
        <v>431</v>
      </c>
      <c r="D31" s="179" t="s">
        <v>236</v>
      </c>
      <c r="E31" s="183">
        <v>1000</v>
      </c>
      <c r="F31" s="37" t="s">
        <v>150</v>
      </c>
    </row>
    <row r="32" spans="1:10" ht="14.25" customHeight="1" x14ac:dyDescent="0.3">
      <c r="A32" s="40">
        <v>30</v>
      </c>
      <c r="B32" s="183" t="s">
        <v>155</v>
      </c>
      <c r="C32" s="183" t="s">
        <v>160</v>
      </c>
      <c r="D32" s="179" t="s">
        <v>236</v>
      </c>
      <c r="E32" s="183">
        <v>600</v>
      </c>
      <c r="F32" s="37" t="s">
        <v>150</v>
      </c>
    </row>
    <row r="33" spans="1:10" ht="14.25" customHeight="1" x14ac:dyDescent="0.3">
      <c r="A33" s="40">
        <v>31</v>
      </c>
      <c r="B33" s="183" t="s">
        <v>155</v>
      </c>
      <c r="C33" s="183" t="s">
        <v>495</v>
      </c>
      <c r="D33" s="179" t="s">
        <v>236</v>
      </c>
      <c r="E33" s="183">
        <v>600</v>
      </c>
      <c r="F33" s="37" t="s">
        <v>150</v>
      </c>
    </row>
    <row r="34" spans="1:10" ht="14.25" customHeight="1" x14ac:dyDescent="0.3">
      <c r="A34" s="190">
        <v>32</v>
      </c>
      <c r="B34" s="191" t="s">
        <v>155</v>
      </c>
      <c r="C34" s="191" t="s">
        <v>496</v>
      </c>
      <c r="D34" s="324" t="s">
        <v>236</v>
      </c>
      <c r="E34" s="191">
        <v>600</v>
      </c>
      <c r="F34" s="211" t="s">
        <v>150</v>
      </c>
    </row>
    <row r="35" spans="1:10" ht="14.25" customHeight="1" x14ac:dyDescent="0.3">
      <c r="A35" s="325">
        <v>33</v>
      </c>
      <c r="B35" s="326" t="s">
        <v>509</v>
      </c>
      <c r="C35" s="326" t="s">
        <v>482</v>
      </c>
      <c r="D35" s="326" t="s">
        <v>236</v>
      </c>
      <c r="E35" s="326" t="s">
        <v>487</v>
      </c>
      <c r="F35" s="327" t="s">
        <v>151</v>
      </c>
    </row>
    <row r="36" spans="1:10" ht="14.25" customHeight="1" x14ac:dyDescent="0.3">
      <c r="A36" s="40">
        <v>34</v>
      </c>
      <c r="B36" s="183" t="s">
        <v>509</v>
      </c>
      <c r="C36" s="183" t="s">
        <v>154</v>
      </c>
      <c r="D36" s="183" t="s">
        <v>236</v>
      </c>
      <c r="E36" s="183" t="s">
        <v>487</v>
      </c>
      <c r="F36" s="37" t="s">
        <v>151</v>
      </c>
      <c r="J36" s="261" t="s">
        <v>828</v>
      </c>
    </row>
    <row r="37" spans="1:10" ht="14.25" customHeight="1" x14ac:dyDescent="0.3">
      <c r="A37" s="40">
        <v>35</v>
      </c>
      <c r="B37" s="183" t="s">
        <v>509</v>
      </c>
      <c r="C37" s="183" t="s">
        <v>486</v>
      </c>
      <c r="D37" s="183" t="s">
        <v>236</v>
      </c>
      <c r="E37" s="183" t="s">
        <v>487</v>
      </c>
      <c r="F37" s="37" t="s">
        <v>151</v>
      </c>
    </row>
    <row r="38" spans="1:10" ht="14.25" customHeight="1" x14ac:dyDescent="0.3">
      <c r="A38" s="40">
        <v>36</v>
      </c>
      <c r="B38" s="183" t="s">
        <v>509</v>
      </c>
      <c r="C38" s="183" t="s">
        <v>490</v>
      </c>
      <c r="D38" s="183" t="s">
        <v>236</v>
      </c>
      <c r="E38" s="183" t="s">
        <v>487</v>
      </c>
      <c r="F38" s="37" t="s">
        <v>151</v>
      </c>
    </row>
    <row r="39" spans="1:10" ht="14.25" customHeight="1" x14ac:dyDescent="0.3">
      <c r="A39" s="40">
        <v>37</v>
      </c>
      <c r="B39" s="183" t="s">
        <v>509</v>
      </c>
      <c r="C39" s="183" t="s">
        <v>431</v>
      </c>
      <c r="D39" s="183" t="s">
        <v>236</v>
      </c>
      <c r="E39" s="183" t="s">
        <v>487</v>
      </c>
      <c r="F39" s="37" t="s">
        <v>151</v>
      </c>
    </row>
    <row r="40" spans="1:10" ht="14.25" customHeight="1" x14ac:dyDescent="0.3">
      <c r="A40" s="190">
        <v>38</v>
      </c>
      <c r="B40" s="183" t="s">
        <v>509</v>
      </c>
      <c r="C40" s="183" t="s">
        <v>160</v>
      </c>
      <c r="D40" s="179" t="s">
        <v>236</v>
      </c>
      <c r="E40" s="183" t="s">
        <v>487</v>
      </c>
      <c r="F40" s="37" t="s">
        <v>151</v>
      </c>
    </row>
    <row r="41" spans="1:10" ht="14.25" customHeight="1" x14ac:dyDescent="0.3">
      <c r="A41" s="40">
        <v>39</v>
      </c>
      <c r="B41" s="183" t="s">
        <v>509</v>
      </c>
      <c r="C41" s="183" t="s">
        <v>495</v>
      </c>
      <c r="D41" s="179" t="s">
        <v>236</v>
      </c>
      <c r="E41" s="183" t="s">
        <v>487</v>
      </c>
      <c r="F41" s="37" t="s">
        <v>151</v>
      </c>
    </row>
    <row r="42" spans="1:10" ht="14.25" customHeight="1" x14ac:dyDescent="0.3">
      <c r="A42" s="212">
        <v>40</v>
      </c>
      <c r="B42" s="194" t="s">
        <v>509</v>
      </c>
      <c r="C42" s="194" t="s">
        <v>496</v>
      </c>
      <c r="D42" s="195" t="s">
        <v>236</v>
      </c>
      <c r="E42" s="194" t="s">
        <v>487</v>
      </c>
      <c r="F42" s="43" t="s">
        <v>151</v>
      </c>
    </row>
    <row r="43" spans="1:10" ht="14.25" customHeight="1" x14ac:dyDescent="0.3">
      <c r="A43" s="181">
        <v>41</v>
      </c>
      <c r="B43" s="179" t="s">
        <v>481</v>
      </c>
      <c r="C43" s="179" t="s">
        <v>482</v>
      </c>
      <c r="D43" s="179" t="s">
        <v>140</v>
      </c>
      <c r="E43" s="179">
        <v>0</v>
      </c>
      <c r="F43" s="180" t="s">
        <v>151</v>
      </c>
    </row>
    <row r="44" spans="1:10" ht="14.25" customHeight="1" x14ac:dyDescent="0.3">
      <c r="A44" s="40">
        <v>42</v>
      </c>
      <c r="B44" s="183" t="s">
        <v>481</v>
      </c>
      <c r="C44" s="183" t="s">
        <v>154</v>
      </c>
      <c r="D44" s="183" t="s">
        <v>140</v>
      </c>
      <c r="E44" s="183">
        <v>0</v>
      </c>
      <c r="F44" s="37" t="s">
        <v>151</v>
      </c>
    </row>
    <row r="45" spans="1:10" ht="14.25" customHeight="1" x14ac:dyDescent="0.3">
      <c r="A45" s="40">
        <v>43</v>
      </c>
      <c r="B45" s="183" t="s">
        <v>481</v>
      </c>
      <c r="C45" s="183" t="s">
        <v>486</v>
      </c>
      <c r="D45" s="183" t="s">
        <v>140</v>
      </c>
      <c r="E45" s="183">
        <v>300</v>
      </c>
      <c r="F45" s="37" t="s">
        <v>150</v>
      </c>
    </row>
    <row r="46" spans="1:10" ht="14.25" customHeight="1" x14ac:dyDescent="0.3">
      <c r="A46" s="40">
        <v>44</v>
      </c>
      <c r="B46" s="183" t="s">
        <v>481</v>
      </c>
      <c r="C46" s="183" t="s">
        <v>490</v>
      </c>
      <c r="D46" s="183" t="s">
        <v>140</v>
      </c>
      <c r="E46" s="183">
        <v>300</v>
      </c>
      <c r="F46" s="37" t="s">
        <v>153</v>
      </c>
    </row>
    <row r="47" spans="1:10" ht="14.25" customHeight="1" x14ac:dyDescent="0.3">
      <c r="A47" s="40">
        <v>45</v>
      </c>
      <c r="B47" s="183" t="s">
        <v>481</v>
      </c>
      <c r="C47" s="183" t="s">
        <v>431</v>
      </c>
      <c r="D47" s="183" t="s">
        <v>140</v>
      </c>
      <c r="E47" s="183">
        <v>300</v>
      </c>
      <c r="F47" s="37" t="s">
        <v>150</v>
      </c>
    </row>
    <row r="48" spans="1:10" ht="14.25" customHeight="1" x14ac:dyDescent="0.3">
      <c r="A48" s="40">
        <v>46</v>
      </c>
      <c r="B48" s="183" t="s">
        <v>481</v>
      </c>
      <c r="C48" s="183" t="s">
        <v>160</v>
      </c>
      <c r="D48" s="183" t="s">
        <v>140</v>
      </c>
      <c r="E48" s="183">
        <v>300</v>
      </c>
      <c r="F48" s="37" t="s">
        <v>150</v>
      </c>
    </row>
    <row r="49" spans="1:6" ht="14.25" customHeight="1" x14ac:dyDescent="0.3">
      <c r="A49" s="40">
        <v>47</v>
      </c>
      <c r="B49" s="183" t="s">
        <v>481</v>
      </c>
      <c r="C49" s="183" t="s">
        <v>495</v>
      </c>
      <c r="D49" s="183" t="s">
        <v>140</v>
      </c>
      <c r="E49" s="183">
        <v>300</v>
      </c>
      <c r="F49" s="37" t="s">
        <v>150</v>
      </c>
    </row>
    <row r="50" spans="1:6" ht="14.25" customHeight="1" x14ac:dyDescent="0.3">
      <c r="A50" s="40">
        <v>48</v>
      </c>
      <c r="B50" s="183" t="s">
        <v>481</v>
      </c>
      <c r="C50" s="183" t="s">
        <v>496</v>
      </c>
      <c r="D50" s="183" t="s">
        <v>140</v>
      </c>
      <c r="E50" s="183">
        <v>300</v>
      </c>
      <c r="F50" s="37" t="s">
        <v>150</v>
      </c>
    </row>
    <row r="51" spans="1:6" ht="14.25" customHeight="1" x14ac:dyDescent="0.3">
      <c r="A51" s="40">
        <v>49</v>
      </c>
      <c r="B51" s="183" t="s">
        <v>497</v>
      </c>
      <c r="C51" s="183" t="s">
        <v>482</v>
      </c>
      <c r="D51" s="183" t="s">
        <v>140</v>
      </c>
      <c r="E51" s="183">
        <v>0</v>
      </c>
      <c r="F51" s="37" t="s">
        <v>151</v>
      </c>
    </row>
    <row r="52" spans="1:6" ht="14.25" customHeight="1" x14ac:dyDescent="0.3">
      <c r="A52" s="40">
        <v>50</v>
      </c>
      <c r="B52" s="183" t="s">
        <v>497</v>
      </c>
      <c r="C52" s="183" t="s">
        <v>154</v>
      </c>
      <c r="D52" s="183" t="s">
        <v>140</v>
      </c>
      <c r="E52" s="183">
        <v>0</v>
      </c>
      <c r="F52" s="37" t="s">
        <v>151</v>
      </c>
    </row>
    <row r="53" spans="1:6" ht="14.25" customHeight="1" x14ac:dyDescent="0.3">
      <c r="A53" s="40">
        <v>51</v>
      </c>
      <c r="B53" s="183" t="s">
        <v>497</v>
      </c>
      <c r="C53" s="183" t="s">
        <v>486</v>
      </c>
      <c r="D53" s="183" t="s">
        <v>140</v>
      </c>
      <c r="E53" s="183">
        <v>1000</v>
      </c>
      <c r="F53" s="37" t="s">
        <v>150</v>
      </c>
    </row>
    <row r="54" spans="1:6" ht="14.25" customHeight="1" x14ac:dyDescent="0.3">
      <c r="A54" s="40">
        <v>52</v>
      </c>
      <c r="B54" s="183" t="s">
        <v>497</v>
      </c>
      <c r="C54" s="183" t="s">
        <v>490</v>
      </c>
      <c r="D54" s="183" t="s">
        <v>140</v>
      </c>
      <c r="E54" s="183">
        <v>1000</v>
      </c>
      <c r="F54" s="37" t="s">
        <v>153</v>
      </c>
    </row>
    <row r="55" spans="1:6" ht="14.25" customHeight="1" x14ac:dyDescent="0.3">
      <c r="A55" s="40">
        <v>53</v>
      </c>
      <c r="B55" s="183" t="s">
        <v>497</v>
      </c>
      <c r="C55" s="183" t="s">
        <v>431</v>
      </c>
      <c r="D55" s="183" t="s">
        <v>140</v>
      </c>
      <c r="E55" s="183">
        <v>1000</v>
      </c>
      <c r="F55" s="37" t="s">
        <v>150</v>
      </c>
    </row>
    <row r="56" spans="1:6" ht="14.25" customHeight="1" x14ac:dyDescent="0.3">
      <c r="A56" s="40">
        <v>54</v>
      </c>
      <c r="B56" s="183" t="s">
        <v>497</v>
      </c>
      <c r="C56" s="183" t="s">
        <v>160</v>
      </c>
      <c r="D56" s="183" t="s">
        <v>140</v>
      </c>
      <c r="E56" s="183">
        <v>600</v>
      </c>
      <c r="F56" s="37" t="s">
        <v>150</v>
      </c>
    </row>
    <row r="57" spans="1:6" ht="14.25" customHeight="1" x14ac:dyDescent="0.3">
      <c r="A57" s="40">
        <v>55</v>
      </c>
      <c r="B57" s="183" t="s">
        <v>497</v>
      </c>
      <c r="C57" s="183" t="s">
        <v>495</v>
      </c>
      <c r="D57" s="183" t="s">
        <v>140</v>
      </c>
      <c r="E57" s="183">
        <v>600</v>
      </c>
      <c r="F57" s="37" t="s">
        <v>150</v>
      </c>
    </row>
    <row r="58" spans="1:6" ht="14.25" customHeight="1" x14ac:dyDescent="0.3">
      <c r="A58" s="40">
        <v>56</v>
      </c>
      <c r="B58" s="183" t="s">
        <v>497</v>
      </c>
      <c r="C58" s="183" t="s">
        <v>496</v>
      </c>
      <c r="D58" s="183" t="s">
        <v>140</v>
      </c>
      <c r="E58" s="183">
        <v>600</v>
      </c>
      <c r="F58" s="37" t="s">
        <v>150</v>
      </c>
    </row>
    <row r="59" spans="1:6" ht="14.25" customHeight="1" x14ac:dyDescent="0.3">
      <c r="A59" s="40">
        <v>57</v>
      </c>
      <c r="B59" s="183" t="s">
        <v>138</v>
      </c>
      <c r="C59" s="183" t="s">
        <v>482</v>
      </c>
      <c r="D59" s="183" t="s">
        <v>140</v>
      </c>
      <c r="E59" s="183">
        <v>0</v>
      </c>
      <c r="F59" s="37" t="s">
        <v>151</v>
      </c>
    </row>
    <row r="60" spans="1:6" ht="14.25" customHeight="1" x14ac:dyDescent="0.3">
      <c r="A60" s="40">
        <v>58</v>
      </c>
      <c r="B60" s="183" t="s">
        <v>138</v>
      </c>
      <c r="C60" s="183" t="s">
        <v>154</v>
      </c>
      <c r="D60" s="183" t="s">
        <v>140</v>
      </c>
      <c r="E60" s="183">
        <v>0</v>
      </c>
      <c r="F60" s="37" t="s">
        <v>151</v>
      </c>
    </row>
    <row r="61" spans="1:6" ht="14.25" customHeight="1" x14ac:dyDescent="0.3">
      <c r="A61" s="40">
        <v>59</v>
      </c>
      <c r="B61" s="183" t="s">
        <v>138</v>
      </c>
      <c r="C61" s="183" t="s">
        <v>486</v>
      </c>
      <c r="D61" s="183" t="s">
        <v>140</v>
      </c>
      <c r="E61" s="183">
        <v>1500</v>
      </c>
      <c r="F61" s="37" t="s">
        <v>150</v>
      </c>
    </row>
    <row r="62" spans="1:6" ht="14.25" customHeight="1" x14ac:dyDescent="0.3">
      <c r="A62" s="40">
        <v>60</v>
      </c>
      <c r="B62" s="183" t="s">
        <v>138</v>
      </c>
      <c r="C62" s="183" t="s">
        <v>490</v>
      </c>
      <c r="D62" s="183" t="s">
        <v>140</v>
      </c>
      <c r="E62" s="183">
        <v>1500</v>
      </c>
      <c r="F62" s="37" t="s">
        <v>153</v>
      </c>
    </row>
    <row r="63" spans="1:6" ht="14.25" customHeight="1" x14ac:dyDescent="0.3">
      <c r="A63" s="40">
        <v>61</v>
      </c>
      <c r="B63" s="183" t="s">
        <v>138</v>
      </c>
      <c r="C63" s="183" t="s">
        <v>431</v>
      </c>
      <c r="D63" s="183" t="s">
        <v>140</v>
      </c>
      <c r="E63" s="183">
        <v>1500</v>
      </c>
      <c r="F63" s="37" t="s">
        <v>150</v>
      </c>
    </row>
    <row r="64" spans="1:6" ht="14.25" customHeight="1" x14ac:dyDescent="0.3">
      <c r="A64" s="40">
        <v>62</v>
      </c>
      <c r="B64" s="183" t="s">
        <v>138</v>
      </c>
      <c r="C64" s="183" t="s">
        <v>160</v>
      </c>
      <c r="D64" s="183" t="s">
        <v>140</v>
      </c>
      <c r="E64" s="183">
        <v>800</v>
      </c>
      <c r="F64" s="37" t="s">
        <v>150</v>
      </c>
    </row>
    <row r="65" spans="1:6" ht="14.25" customHeight="1" x14ac:dyDescent="0.3">
      <c r="A65" s="40">
        <v>63</v>
      </c>
      <c r="B65" s="183" t="s">
        <v>138</v>
      </c>
      <c r="C65" s="183" t="s">
        <v>495</v>
      </c>
      <c r="D65" s="183" t="s">
        <v>140</v>
      </c>
      <c r="E65" s="183">
        <v>800</v>
      </c>
      <c r="F65" s="37" t="s">
        <v>150</v>
      </c>
    </row>
    <row r="66" spans="1:6" ht="14.25" customHeight="1" x14ac:dyDescent="0.3">
      <c r="A66" s="40">
        <v>64</v>
      </c>
      <c r="B66" s="183" t="s">
        <v>138</v>
      </c>
      <c r="C66" s="183" t="s">
        <v>496</v>
      </c>
      <c r="D66" s="183" t="s">
        <v>140</v>
      </c>
      <c r="E66" s="183">
        <v>800</v>
      </c>
      <c r="F66" s="37" t="s">
        <v>150</v>
      </c>
    </row>
    <row r="67" spans="1:6" ht="14.25" customHeight="1" x14ac:dyDescent="0.3">
      <c r="A67" s="40">
        <v>65</v>
      </c>
      <c r="B67" s="183" t="s">
        <v>155</v>
      </c>
      <c r="C67" s="183" t="s">
        <v>482</v>
      </c>
      <c r="D67" s="183" t="s">
        <v>140</v>
      </c>
      <c r="E67" s="183">
        <v>0</v>
      </c>
      <c r="F67" s="37" t="s">
        <v>151</v>
      </c>
    </row>
    <row r="68" spans="1:6" ht="14.25" customHeight="1" x14ac:dyDescent="0.3">
      <c r="A68" s="40">
        <v>66</v>
      </c>
      <c r="B68" s="183" t="s">
        <v>155</v>
      </c>
      <c r="C68" s="183" t="s">
        <v>154</v>
      </c>
      <c r="D68" s="183" t="s">
        <v>140</v>
      </c>
      <c r="E68" s="183">
        <v>0</v>
      </c>
      <c r="F68" s="37" t="s">
        <v>151</v>
      </c>
    </row>
    <row r="69" spans="1:6" ht="14.25" customHeight="1" x14ac:dyDescent="0.3">
      <c r="A69" s="40">
        <v>67</v>
      </c>
      <c r="B69" s="183" t="s">
        <v>155</v>
      </c>
      <c r="C69" s="183" t="s">
        <v>486</v>
      </c>
      <c r="D69" s="183" t="s">
        <v>140</v>
      </c>
      <c r="E69" s="183">
        <v>2000</v>
      </c>
      <c r="F69" s="37" t="s">
        <v>150</v>
      </c>
    </row>
    <row r="70" spans="1:6" ht="14.25" customHeight="1" x14ac:dyDescent="0.3">
      <c r="A70" s="40">
        <v>68</v>
      </c>
      <c r="B70" s="183" t="s">
        <v>155</v>
      </c>
      <c r="C70" s="183" t="s">
        <v>490</v>
      </c>
      <c r="D70" s="183" t="s">
        <v>140</v>
      </c>
      <c r="E70" s="183">
        <v>2000</v>
      </c>
      <c r="F70" s="37" t="s">
        <v>150</v>
      </c>
    </row>
    <row r="71" spans="1:6" ht="14.25" customHeight="1" x14ac:dyDescent="0.3">
      <c r="A71" s="40">
        <v>69</v>
      </c>
      <c r="B71" s="183" t="s">
        <v>155</v>
      </c>
      <c r="C71" s="183" t="s">
        <v>431</v>
      </c>
      <c r="D71" s="183" t="s">
        <v>140</v>
      </c>
      <c r="E71" s="183">
        <v>2000</v>
      </c>
      <c r="F71" s="37" t="s">
        <v>150</v>
      </c>
    </row>
    <row r="72" spans="1:6" ht="14.25" customHeight="1" x14ac:dyDescent="0.3">
      <c r="A72" s="40">
        <v>70</v>
      </c>
      <c r="B72" s="183" t="s">
        <v>155</v>
      </c>
      <c r="C72" s="183" t="s">
        <v>160</v>
      </c>
      <c r="D72" s="183" t="s">
        <v>140</v>
      </c>
      <c r="E72" s="183">
        <v>1000</v>
      </c>
      <c r="F72" s="37" t="s">
        <v>150</v>
      </c>
    </row>
    <row r="73" spans="1:6" ht="14.25" customHeight="1" x14ac:dyDescent="0.3">
      <c r="A73" s="40">
        <v>71</v>
      </c>
      <c r="B73" s="183" t="s">
        <v>155</v>
      </c>
      <c r="C73" s="183" t="s">
        <v>495</v>
      </c>
      <c r="D73" s="183" t="s">
        <v>140</v>
      </c>
      <c r="E73" s="183">
        <v>1000</v>
      </c>
      <c r="F73" s="37" t="s">
        <v>150</v>
      </c>
    </row>
    <row r="74" spans="1:6" ht="14.25" customHeight="1" x14ac:dyDescent="0.3">
      <c r="A74" s="190">
        <v>72</v>
      </c>
      <c r="B74" s="191" t="s">
        <v>155</v>
      </c>
      <c r="C74" s="191" t="s">
        <v>496</v>
      </c>
      <c r="D74" s="191" t="s">
        <v>140</v>
      </c>
      <c r="E74" s="191">
        <v>1000</v>
      </c>
      <c r="F74" s="211" t="s">
        <v>150</v>
      </c>
    </row>
    <row r="75" spans="1:6" ht="14.25" customHeight="1" x14ac:dyDescent="0.3">
      <c r="A75" s="192">
        <v>73</v>
      </c>
      <c r="B75" s="193" t="s">
        <v>509</v>
      </c>
      <c r="C75" s="193" t="s">
        <v>482</v>
      </c>
      <c r="D75" s="193" t="s">
        <v>140</v>
      </c>
      <c r="E75" s="193" t="s">
        <v>487</v>
      </c>
      <c r="F75" s="33" t="s">
        <v>151</v>
      </c>
    </row>
    <row r="76" spans="1:6" ht="14.25" customHeight="1" x14ac:dyDescent="0.3">
      <c r="A76" s="40">
        <v>74</v>
      </c>
      <c r="B76" s="183" t="s">
        <v>509</v>
      </c>
      <c r="C76" s="183" t="s">
        <v>154</v>
      </c>
      <c r="D76" s="183" t="s">
        <v>140</v>
      </c>
      <c r="E76" s="183" t="s">
        <v>487</v>
      </c>
      <c r="F76" s="37" t="s">
        <v>151</v>
      </c>
    </row>
    <row r="77" spans="1:6" ht="14.25" customHeight="1" x14ac:dyDescent="0.3">
      <c r="A77" s="40">
        <v>75</v>
      </c>
      <c r="B77" s="183" t="s">
        <v>509</v>
      </c>
      <c r="C77" s="183" t="s">
        <v>486</v>
      </c>
      <c r="D77" s="183" t="s">
        <v>140</v>
      </c>
      <c r="E77" s="183" t="s">
        <v>487</v>
      </c>
      <c r="F77" s="37" t="s">
        <v>151</v>
      </c>
    </row>
    <row r="78" spans="1:6" ht="14.25" customHeight="1" x14ac:dyDescent="0.3">
      <c r="A78" s="40">
        <v>76</v>
      </c>
      <c r="B78" s="183" t="s">
        <v>509</v>
      </c>
      <c r="C78" s="183" t="s">
        <v>490</v>
      </c>
      <c r="D78" s="183" t="s">
        <v>140</v>
      </c>
      <c r="E78" s="183" t="s">
        <v>487</v>
      </c>
      <c r="F78" s="37" t="s">
        <v>151</v>
      </c>
    </row>
    <row r="79" spans="1:6" ht="14.25" customHeight="1" x14ac:dyDescent="0.3">
      <c r="A79" s="40">
        <v>77</v>
      </c>
      <c r="B79" s="183" t="s">
        <v>509</v>
      </c>
      <c r="C79" s="183" t="s">
        <v>431</v>
      </c>
      <c r="D79" s="183" t="s">
        <v>140</v>
      </c>
      <c r="E79" s="183" t="s">
        <v>487</v>
      </c>
      <c r="F79" s="37" t="s">
        <v>151</v>
      </c>
    </row>
    <row r="80" spans="1:6" ht="14.25" customHeight="1" x14ac:dyDescent="0.3">
      <c r="A80" s="40">
        <v>78</v>
      </c>
      <c r="B80" s="183" t="s">
        <v>509</v>
      </c>
      <c r="C80" s="183" t="s">
        <v>160</v>
      </c>
      <c r="D80" s="183" t="s">
        <v>140</v>
      </c>
      <c r="E80" s="183" t="s">
        <v>487</v>
      </c>
      <c r="F80" s="37" t="s">
        <v>151</v>
      </c>
    </row>
    <row r="81" spans="1:6" ht="14.25" customHeight="1" x14ac:dyDescent="0.3">
      <c r="A81" s="40">
        <v>79</v>
      </c>
      <c r="B81" s="183" t="s">
        <v>509</v>
      </c>
      <c r="C81" s="183" t="s">
        <v>495</v>
      </c>
      <c r="D81" s="183" t="s">
        <v>140</v>
      </c>
      <c r="E81" s="183" t="s">
        <v>487</v>
      </c>
      <c r="F81" s="37" t="s">
        <v>151</v>
      </c>
    </row>
    <row r="82" spans="1:6" ht="14.25" customHeight="1" x14ac:dyDescent="0.3">
      <c r="A82" s="212">
        <v>80</v>
      </c>
      <c r="B82" s="194" t="s">
        <v>509</v>
      </c>
      <c r="C82" s="194" t="s">
        <v>496</v>
      </c>
      <c r="D82" s="194" t="s">
        <v>140</v>
      </c>
      <c r="E82" s="194" t="s">
        <v>487</v>
      </c>
      <c r="F82" s="43" t="s">
        <v>151</v>
      </c>
    </row>
    <row r="83" spans="1:6" ht="14.25" customHeight="1" x14ac:dyDescent="0.3"/>
    <row r="84" spans="1:6" ht="14.25" customHeight="1" x14ac:dyDescent="0.3"/>
    <row r="85" spans="1:6" ht="14.25" customHeight="1" x14ac:dyDescent="0.3"/>
    <row r="86" spans="1:6" ht="14.25" customHeight="1" x14ac:dyDescent="0.3"/>
    <row r="87" spans="1:6" ht="14.25" customHeight="1" x14ac:dyDescent="0.3"/>
    <row r="88" spans="1:6" ht="14.25" customHeight="1" x14ac:dyDescent="0.3"/>
    <row r="89" spans="1:6" ht="14.25" customHeight="1" x14ac:dyDescent="0.3"/>
    <row r="90" spans="1:6" ht="14.25" customHeight="1" x14ac:dyDescent="0.3"/>
    <row r="91" spans="1:6" ht="14.25" customHeight="1" x14ac:dyDescent="0.3"/>
    <row r="92" spans="1:6" ht="14.25" customHeight="1" x14ac:dyDescent="0.3"/>
    <row r="93" spans="1:6" ht="14.25" customHeight="1" x14ac:dyDescent="0.3"/>
    <row r="94" spans="1:6" ht="14.25" customHeight="1" x14ac:dyDescent="0.3"/>
    <row r="95" spans="1:6" ht="14.25" customHeight="1" x14ac:dyDescent="0.3"/>
    <row r="96" spans="1: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8"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1"/>
  <dimension ref="A1:H1000"/>
  <sheetViews>
    <sheetView workbookViewId="0"/>
  </sheetViews>
  <sheetFormatPr baseColWidth="10" defaultColWidth="14.44140625" defaultRowHeight="15" customHeight="1" x14ac:dyDescent="0.3"/>
  <cols>
    <col min="1" max="1" width="22.5546875" customWidth="1"/>
    <col min="2" max="2" width="17.44140625" customWidth="1"/>
    <col min="3" max="3" width="19.33203125" customWidth="1"/>
    <col min="4" max="4" width="10.6640625" customWidth="1"/>
    <col min="5" max="5" width="24.88671875" customWidth="1"/>
    <col min="6" max="6" width="20.6640625" customWidth="1"/>
    <col min="7" max="7" width="10.6640625" customWidth="1"/>
    <col min="8" max="8" width="79.33203125" customWidth="1"/>
  </cols>
  <sheetData>
    <row r="1" spans="1:8" ht="14.25" customHeight="1" x14ac:dyDescent="0.3">
      <c r="A1" s="328" t="s">
        <v>829</v>
      </c>
      <c r="H1" s="160" t="s">
        <v>740</v>
      </c>
    </row>
    <row r="2" spans="1:8" ht="29.25" customHeight="1" x14ac:dyDescent="0.3">
      <c r="A2" s="296" t="s">
        <v>473</v>
      </c>
      <c r="B2" s="297" t="s">
        <v>475</v>
      </c>
      <c r="C2" s="297" t="s">
        <v>735</v>
      </c>
      <c r="D2" s="297" t="s">
        <v>736</v>
      </c>
      <c r="E2" s="298" t="s">
        <v>737</v>
      </c>
      <c r="H2" s="166" t="s">
        <v>743</v>
      </c>
    </row>
    <row r="3" spans="1:8" ht="14.25" customHeight="1" x14ac:dyDescent="0.3">
      <c r="A3" s="220">
        <v>1</v>
      </c>
      <c r="B3" s="221" t="s">
        <v>482</v>
      </c>
      <c r="C3" s="221" t="s">
        <v>236</v>
      </c>
      <c r="D3" s="221">
        <v>0</v>
      </c>
      <c r="E3" s="222" t="s">
        <v>151</v>
      </c>
    </row>
    <row r="4" spans="1:8" ht="14.25" customHeight="1" x14ac:dyDescent="0.3">
      <c r="A4" s="223">
        <v>2</v>
      </c>
      <c r="B4" s="144" t="s">
        <v>154</v>
      </c>
      <c r="C4" s="144" t="s">
        <v>236</v>
      </c>
      <c r="D4" s="144">
        <v>0</v>
      </c>
      <c r="E4" s="114" t="s">
        <v>151</v>
      </c>
      <c r="H4" s="120" t="s">
        <v>830</v>
      </c>
    </row>
    <row r="5" spans="1:8" ht="14.25" customHeight="1" x14ac:dyDescent="0.3">
      <c r="A5" s="223">
        <v>3</v>
      </c>
      <c r="B5" s="144" t="s">
        <v>486</v>
      </c>
      <c r="C5" s="144" t="s">
        <v>236</v>
      </c>
      <c r="D5" s="144">
        <v>2000</v>
      </c>
      <c r="E5" s="114" t="s">
        <v>153</v>
      </c>
      <c r="H5" s="120"/>
    </row>
    <row r="6" spans="1:8" ht="14.25" customHeight="1" x14ac:dyDescent="0.3">
      <c r="A6" s="223">
        <v>4</v>
      </c>
      <c r="B6" s="144" t="s">
        <v>490</v>
      </c>
      <c r="C6" s="144" t="s">
        <v>236</v>
      </c>
      <c r="D6" s="144">
        <v>2000</v>
      </c>
      <c r="E6" s="114" t="s">
        <v>153</v>
      </c>
      <c r="H6" s="120" t="s">
        <v>831</v>
      </c>
    </row>
    <row r="7" spans="1:8" ht="14.25" customHeight="1" x14ac:dyDescent="0.3">
      <c r="A7" s="223">
        <v>5</v>
      </c>
      <c r="B7" s="144" t="s">
        <v>431</v>
      </c>
      <c r="C7" s="144" t="s">
        <v>236</v>
      </c>
      <c r="D7" s="144">
        <v>2000</v>
      </c>
      <c r="E7" s="114" t="s">
        <v>153</v>
      </c>
      <c r="H7" s="120"/>
    </row>
    <row r="8" spans="1:8" ht="11.25" customHeight="1" x14ac:dyDescent="0.3">
      <c r="A8" s="223">
        <v>6</v>
      </c>
      <c r="B8" s="144" t="s">
        <v>160</v>
      </c>
      <c r="C8" s="144" t="s">
        <v>236</v>
      </c>
      <c r="D8" s="144">
        <v>1000</v>
      </c>
      <c r="E8" s="114" t="s">
        <v>153</v>
      </c>
      <c r="H8" s="120"/>
    </row>
    <row r="9" spans="1:8" ht="16.5" customHeight="1" x14ac:dyDescent="0.3">
      <c r="A9" s="223">
        <v>7</v>
      </c>
      <c r="B9" s="144" t="s">
        <v>495</v>
      </c>
      <c r="C9" s="144" t="s">
        <v>236</v>
      </c>
      <c r="D9" s="144">
        <v>1000</v>
      </c>
      <c r="E9" s="114" t="s">
        <v>153</v>
      </c>
      <c r="H9" s="120"/>
    </row>
    <row r="10" spans="1:8" ht="14.25" customHeight="1" x14ac:dyDescent="0.3">
      <c r="A10" s="223">
        <v>8</v>
      </c>
      <c r="B10" s="144" t="s">
        <v>496</v>
      </c>
      <c r="C10" s="144" t="s">
        <v>236</v>
      </c>
      <c r="D10" s="144">
        <v>1000</v>
      </c>
      <c r="E10" s="114" t="s">
        <v>153</v>
      </c>
      <c r="H10" s="120"/>
    </row>
    <row r="11" spans="1:8" ht="14.25" customHeight="1" x14ac:dyDescent="0.3">
      <c r="A11" s="223">
        <v>9</v>
      </c>
      <c r="B11" s="144" t="s">
        <v>482</v>
      </c>
      <c r="C11" s="144" t="s">
        <v>140</v>
      </c>
      <c r="D11" s="144">
        <v>0</v>
      </c>
      <c r="E11" s="114" t="s">
        <v>151</v>
      </c>
    </row>
    <row r="12" spans="1:8" ht="14.25" customHeight="1" x14ac:dyDescent="0.3">
      <c r="A12" s="223">
        <v>10</v>
      </c>
      <c r="B12" s="144" t="s">
        <v>154</v>
      </c>
      <c r="C12" s="144" t="s">
        <v>140</v>
      </c>
      <c r="D12" s="144">
        <v>0</v>
      </c>
      <c r="E12" s="114" t="s">
        <v>151</v>
      </c>
    </row>
    <row r="13" spans="1:8" ht="14.25" customHeight="1" x14ac:dyDescent="0.3">
      <c r="A13" s="223">
        <v>11</v>
      </c>
      <c r="B13" s="144" t="s">
        <v>486</v>
      </c>
      <c r="C13" s="144" t="s">
        <v>140</v>
      </c>
      <c r="D13" s="144">
        <v>1000</v>
      </c>
      <c r="E13" s="114" t="s">
        <v>153</v>
      </c>
    </row>
    <row r="14" spans="1:8" ht="14.25" customHeight="1" x14ac:dyDescent="0.3">
      <c r="A14" s="223">
        <v>12</v>
      </c>
      <c r="B14" s="144" t="s">
        <v>490</v>
      </c>
      <c r="C14" s="144" t="s">
        <v>140</v>
      </c>
      <c r="D14" s="144">
        <v>1000</v>
      </c>
      <c r="E14" s="114" t="s">
        <v>153</v>
      </c>
    </row>
    <row r="15" spans="1:8" ht="14.25" customHeight="1" x14ac:dyDescent="0.3">
      <c r="A15" s="223">
        <v>13</v>
      </c>
      <c r="B15" s="144" t="s">
        <v>431</v>
      </c>
      <c r="C15" s="144" t="s">
        <v>140</v>
      </c>
      <c r="D15" s="144">
        <v>1000</v>
      </c>
      <c r="E15" s="114" t="s">
        <v>153</v>
      </c>
    </row>
    <row r="16" spans="1:8" ht="14.25" customHeight="1" x14ac:dyDescent="0.3">
      <c r="A16" s="223">
        <v>14</v>
      </c>
      <c r="B16" s="144" t="s">
        <v>160</v>
      </c>
      <c r="C16" s="144" t="s">
        <v>140</v>
      </c>
      <c r="D16" s="144">
        <v>800</v>
      </c>
      <c r="E16" s="114" t="s">
        <v>153</v>
      </c>
      <c r="H16" s="25" t="e">
        <f ca="1">_xludf.CONCAT(H33:H41)</f>
        <v>#NAME?</v>
      </c>
    </row>
    <row r="17" spans="1:8" ht="14.25" customHeight="1" x14ac:dyDescent="0.3">
      <c r="A17" s="223">
        <v>15</v>
      </c>
      <c r="B17" s="144" t="s">
        <v>495</v>
      </c>
      <c r="C17" s="144" t="s">
        <v>140</v>
      </c>
      <c r="D17" s="144">
        <v>800</v>
      </c>
      <c r="E17" s="114" t="s">
        <v>153</v>
      </c>
    </row>
    <row r="18" spans="1:8" ht="14.25" customHeight="1" x14ac:dyDescent="0.3">
      <c r="A18" s="224">
        <v>16</v>
      </c>
      <c r="B18" s="225" t="s">
        <v>496</v>
      </c>
      <c r="C18" s="225" t="s">
        <v>140</v>
      </c>
      <c r="D18" s="225">
        <v>800</v>
      </c>
      <c r="E18" s="117" t="s">
        <v>153</v>
      </c>
    </row>
    <row r="19" spans="1:8" ht="14.25" customHeight="1" x14ac:dyDescent="0.3">
      <c r="H19" s="120" t="s">
        <v>832</v>
      </c>
    </row>
    <row r="20" spans="1:8" ht="14.25" customHeight="1" x14ac:dyDescent="0.3"/>
    <row r="21" spans="1:8" ht="14.25" customHeight="1" x14ac:dyDescent="0.3">
      <c r="H21" s="120" t="s">
        <v>833</v>
      </c>
    </row>
    <row r="22" spans="1:8" ht="14.25" customHeight="1" x14ac:dyDescent="0.3">
      <c r="A22" s="328" t="s">
        <v>834</v>
      </c>
    </row>
    <row r="23" spans="1:8" ht="14.25" customHeight="1" x14ac:dyDescent="0.3">
      <c r="A23" s="328" t="s">
        <v>473</v>
      </c>
      <c r="B23" s="328" t="s">
        <v>476</v>
      </c>
      <c r="C23" s="329" t="s">
        <v>8</v>
      </c>
      <c r="D23" s="329" t="s">
        <v>736</v>
      </c>
      <c r="E23" s="330" t="s">
        <v>835</v>
      </c>
      <c r="F23" s="330" t="s">
        <v>836</v>
      </c>
      <c r="H23" s="120" t="s">
        <v>837</v>
      </c>
    </row>
    <row r="24" spans="1:8" ht="14.25" customHeight="1" x14ac:dyDescent="0.3">
      <c r="A24" s="192">
        <v>1</v>
      </c>
      <c r="B24" s="193" t="s">
        <v>139</v>
      </c>
      <c r="C24" s="193" t="s">
        <v>236</v>
      </c>
      <c r="D24" s="193">
        <v>100</v>
      </c>
      <c r="E24" s="193" t="s">
        <v>838</v>
      </c>
      <c r="F24" s="33">
        <v>6</v>
      </c>
    </row>
    <row r="25" spans="1:8" ht="14.25" customHeight="1" x14ac:dyDescent="0.3">
      <c r="A25" s="40">
        <v>2</v>
      </c>
      <c r="B25" s="183" t="s">
        <v>510</v>
      </c>
      <c r="C25" s="183" t="s">
        <v>236</v>
      </c>
      <c r="D25" s="183">
        <v>100</v>
      </c>
      <c r="E25" s="183" t="s">
        <v>839</v>
      </c>
      <c r="F25" s="37">
        <v>9</v>
      </c>
    </row>
    <row r="26" spans="1:8" ht="14.25" customHeight="1" x14ac:dyDescent="0.3">
      <c r="A26" s="40">
        <v>3</v>
      </c>
      <c r="B26" s="183" t="s">
        <v>139</v>
      </c>
      <c r="C26" s="183" t="s">
        <v>140</v>
      </c>
      <c r="D26" s="183">
        <v>100</v>
      </c>
      <c r="E26" s="183" t="s">
        <v>839</v>
      </c>
      <c r="F26" s="37">
        <v>9</v>
      </c>
    </row>
    <row r="27" spans="1:8" ht="14.25" customHeight="1" x14ac:dyDescent="0.3">
      <c r="A27" s="212">
        <v>4</v>
      </c>
      <c r="B27" s="194" t="s">
        <v>510</v>
      </c>
      <c r="C27" s="194" t="s">
        <v>140</v>
      </c>
      <c r="D27" s="194">
        <v>100</v>
      </c>
      <c r="E27" s="194" t="s">
        <v>840</v>
      </c>
      <c r="F27" s="43">
        <v>12</v>
      </c>
    </row>
    <row r="28" spans="1:8" ht="14.25" customHeight="1" x14ac:dyDescent="0.3"/>
    <row r="29" spans="1:8" ht="14.25" customHeight="1" x14ac:dyDescent="0.3"/>
    <row r="30" spans="1:8" ht="14.25" customHeight="1" x14ac:dyDescent="0.3"/>
    <row r="31" spans="1:8" ht="14.25" customHeight="1" x14ac:dyDescent="0.3">
      <c r="A31" s="217"/>
    </row>
    <row r="32" spans="1: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2"/>
  <dimension ref="A1:A1000"/>
  <sheetViews>
    <sheetView workbookViewId="0"/>
  </sheetViews>
  <sheetFormatPr baseColWidth="10" defaultColWidth="14.44140625" defaultRowHeight="15" customHeight="1" x14ac:dyDescent="0.3"/>
  <cols>
    <col min="1" max="6" width="10.6640625" customWidth="1"/>
  </cols>
  <sheetData>
    <row r="1" spans="1:1" ht="14.25" customHeight="1" x14ac:dyDescent="0.3">
      <c r="A1" s="25" t="s">
        <v>841</v>
      </c>
    </row>
    <row r="2" spans="1:1" ht="14.25" customHeight="1" x14ac:dyDescent="0.3">
      <c r="A2" s="25" t="s">
        <v>842</v>
      </c>
    </row>
    <row r="3" spans="1:1" ht="14.25" customHeight="1" x14ac:dyDescent="0.3">
      <c r="A3" s="25" t="s">
        <v>843</v>
      </c>
    </row>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1:D1000"/>
  <sheetViews>
    <sheetView workbookViewId="0"/>
  </sheetViews>
  <sheetFormatPr baseColWidth="10" defaultColWidth="14.44140625" defaultRowHeight="15" customHeight="1" x14ac:dyDescent="0.3"/>
  <cols>
    <col min="1" max="1" width="25.5546875" customWidth="1"/>
    <col min="2" max="2" width="14.33203125" customWidth="1"/>
    <col min="3" max="6" width="10.6640625" customWidth="1"/>
  </cols>
  <sheetData>
    <row r="1" spans="1:4" ht="14.25" customHeight="1" x14ac:dyDescent="0.3">
      <c r="A1" s="331" t="s">
        <v>844</v>
      </c>
    </row>
    <row r="2" spans="1:4" ht="14.25" customHeight="1" x14ac:dyDescent="0.3">
      <c r="A2" s="332" t="s">
        <v>845</v>
      </c>
      <c r="B2" s="333" t="s">
        <v>737</v>
      </c>
      <c r="D2" s="25" t="s">
        <v>846</v>
      </c>
    </row>
    <row r="3" spans="1:4" ht="14.25" customHeight="1" x14ac:dyDescent="0.3">
      <c r="A3" s="40" t="s">
        <v>847</v>
      </c>
      <c r="B3" s="37" t="s">
        <v>150</v>
      </c>
      <c r="D3" s="25" t="s">
        <v>848</v>
      </c>
    </row>
    <row r="4" spans="1:4" ht="14.25" customHeight="1" x14ac:dyDescent="0.3">
      <c r="A4" s="40" t="s">
        <v>849</v>
      </c>
      <c r="B4" s="37" t="s">
        <v>151</v>
      </c>
    </row>
    <row r="5" spans="1:4" ht="14.25" customHeight="1" x14ac:dyDescent="0.3">
      <c r="A5" s="40" t="s">
        <v>850</v>
      </c>
      <c r="B5" s="37" t="s">
        <v>150</v>
      </c>
    </row>
    <row r="6" spans="1:4" ht="14.25" customHeight="1" x14ac:dyDescent="0.3">
      <c r="A6" s="40" t="s">
        <v>851</v>
      </c>
      <c r="B6" s="37" t="s">
        <v>150</v>
      </c>
    </row>
    <row r="7" spans="1:4" ht="14.25" customHeight="1" x14ac:dyDescent="0.3">
      <c r="A7" s="40" t="s">
        <v>852</v>
      </c>
      <c r="B7" s="37" t="s">
        <v>150</v>
      </c>
    </row>
    <row r="8" spans="1:4" ht="14.25" customHeight="1" x14ac:dyDescent="0.3">
      <c r="A8" s="40" t="s">
        <v>853</v>
      </c>
      <c r="B8" s="37" t="s">
        <v>151</v>
      </c>
    </row>
    <row r="9" spans="1:4" ht="14.25" customHeight="1" x14ac:dyDescent="0.3">
      <c r="A9" s="40" t="s">
        <v>854</v>
      </c>
      <c r="B9" s="37" t="s">
        <v>151</v>
      </c>
    </row>
    <row r="10" spans="1:4" ht="14.25" customHeight="1" x14ac:dyDescent="0.3">
      <c r="A10" s="40" t="s">
        <v>855</v>
      </c>
      <c r="B10" s="37" t="s">
        <v>151</v>
      </c>
    </row>
    <row r="11" spans="1:4" ht="14.25" customHeight="1" x14ac:dyDescent="0.3">
      <c r="A11" s="212" t="s">
        <v>856</v>
      </c>
      <c r="B11" s="43" t="s">
        <v>151</v>
      </c>
    </row>
    <row r="12" spans="1:4" ht="14.25" customHeight="1" x14ac:dyDescent="0.3"/>
    <row r="13" spans="1:4" ht="14.25" customHeight="1" x14ac:dyDescent="0.3"/>
    <row r="14" spans="1:4" ht="14.25" customHeight="1" x14ac:dyDescent="0.3"/>
    <row r="15" spans="1:4" ht="14.25" customHeight="1" x14ac:dyDescent="0.3"/>
    <row r="16" spans="1:4"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34" t="s">
        <v>857</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
  <dimension ref="A1:M1000"/>
  <sheetViews>
    <sheetView workbookViewId="0"/>
  </sheetViews>
  <sheetFormatPr baseColWidth="10" defaultColWidth="14.44140625" defaultRowHeight="15" customHeight="1" x14ac:dyDescent="0.3"/>
  <cols>
    <col min="1" max="1" width="16.6640625" customWidth="1"/>
    <col min="2" max="4" width="10.6640625" customWidth="1"/>
    <col min="5" max="5" width="13" customWidth="1"/>
    <col min="6" max="8" width="10.6640625" customWidth="1"/>
    <col min="9" max="9" width="15.44140625" customWidth="1"/>
    <col min="10" max="10" width="10.6640625" customWidth="1"/>
    <col min="11" max="11" width="18.33203125" customWidth="1"/>
    <col min="12" max="12" width="10.6640625" customWidth="1"/>
    <col min="13" max="13" width="31.5546875" customWidth="1"/>
  </cols>
  <sheetData>
    <row r="1" spans="1:13" ht="14.25" customHeight="1" x14ac:dyDescent="0.3">
      <c r="A1" s="335" t="s">
        <v>858</v>
      </c>
      <c r="B1" s="336" t="s">
        <v>859</v>
      </c>
      <c r="C1" s="336" t="s">
        <v>5</v>
      </c>
      <c r="E1" s="336" t="s">
        <v>476</v>
      </c>
      <c r="G1" s="335" t="s">
        <v>860</v>
      </c>
      <c r="I1" s="336" t="s">
        <v>8</v>
      </c>
      <c r="K1" s="336" t="s">
        <v>861</v>
      </c>
      <c r="M1" s="336" t="s">
        <v>862</v>
      </c>
    </row>
    <row r="2" spans="1:13" ht="14.25" customHeight="1" x14ac:dyDescent="0.3">
      <c r="A2" s="337" t="s">
        <v>481</v>
      </c>
      <c r="B2" s="316">
        <v>425</v>
      </c>
      <c r="C2" s="338" t="s">
        <v>482</v>
      </c>
      <c r="E2" s="9" t="s">
        <v>139</v>
      </c>
      <c r="G2" s="339" t="b">
        <v>0</v>
      </c>
      <c r="I2" s="9" t="s">
        <v>236</v>
      </c>
      <c r="K2" s="179" t="s">
        <v>863</v>
      </c>
      <c r="M2" s="9" t="s">
        <v>145</v>
      </c>
    </row>
    <row r="3" spans="1:13" ht="14.25" customHeight="1" x14ac:dyDescent="0.3">
      <c r="A3" s="340" t="s">
        <v>497</v>
      </c>
      <c r="B3" s="14">
        <v>850</v>
      </c>
      <c r="C3" s="341" t="s">
        <v>154</v>
      </c>
      <c r="E3" s="319" t="s">
        <v>510</v>
      </c>
      <c r="G3" s="316" t="b">
        <v>1</v>
      </c>
      <c r="I3" s="319" t="s">
        <v>140</v>
      </c>
      <c r="K3" s="183" t="s">
        <v>864</v>
      </c>
      <c r="M3" s="14" t="s">
        <v>865</v>
      </c>
    </row>
    <row r="4" spans="1:13" ht="14.25" customHeight="1" x14ac:dyDescent="0.3">
      <c r="A4" s="340" t="s">
        <v>138</v>
      </c>
      <c r="B4" s="14">
        <v>1275</v>
      </c>
      <c r="C4" s="341" t="s">
        <v>486</v>
      </c>
      <c r="K4" s="183" t="s">
        <v>866</v>
      </c>
      <c r="M4" s="342" t="s">
        <v>867</v>
      </c>
    </row>
    <row r="5" spans="1:13" ht="27.75" customHeight="1" x14ac:dyDescent="0.3">
      <c r="A5" s="340" t="s">
        <v>155</v>
      </c>
      <c r="B5" s="14">
        <v>1700</v>
      </c>
      <c r="C5" s="341" t="s">
        <v>490</v>
      </c>
      <c r="K5" s="183" t="s">
        <v>868</v>
      </c>
      <c r="M5" s="240" t="s">
        <v>869</v>
      </c>
    </row>
    <row r="6" spans="1:13" ht="14.25" customHeight="1" x14ac:dyDescent="0.3">
      <c r="A6" s="343" t="s">
        <v>509</v>
      </c>
      <c r="B6" s="14">
        <v>3400</v>
      </c>
      <c r="C6" s="341" t="s">
        <v>431</v>
      </c>
      <c r="K6" s="183" t="s">
        <v>870</v>
      </c>
    </row>
    <row r="7" spans="1:13" ht="14.25" customHeight="1" x14ac:dyDescent="0.3">
      <c r="B7" s="14">
        <v>6800</v>
      </c>
      <c r="C7" s="341" t="s">
        <v>160</v>
      </c>
      <c r="K7" s="183" t="s">
        <v>871</v>
      </c>
    </row>
    <row r="8" spans="1:13" ht="14.25" customHeight="1" x14ac:dyDescent="0.3">
      <c r="B8" s="14">
        <v>13600</v>
      </c>
      <c r="C8" s="341" t="s">
        <v>495</v>
      </c>
      <c r="K8" s="183" t="s">
        <v>872</v>
      </c>
    </row>
    <row r="9" spans="1:13" ht="14.25" customHeight="1" x14ac:dyDescent="0.3">
      <c r="B9" s="319">
        <v>9.9999999999999999E+52</v>
      </c>
      <c r="C9" s="341" t="s">
        <v>496</v>
      </c>
      <c r="K9" s="183" t="s">
        <v>873</v>
      </c>
    </row>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6">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x14ac:dyDescent="0.3">
      <c r="B2" s="407" t="s">
        <v>874</v>
      </c>
      <c r="C2" s="380"/>
      <c r="D2" s="380"/>
      <c r="E2" s="380"/>
      <c r="F2" s="380"/>
      <c r="G2" s="380"/>
      <c r="H2" s="380"/>
      <c r="I2" s="380"/>
      <c r="J2" s="380"/>
      <c r="K2" s="380"/>
      <c r="L2" s="380"/>
      <c r="M2" s="380"/>
      <c r="N2" s="380"/>
      <c r="O2" s="380"/>
      <c r="P2" s="380"/>
    </row>
    <row r="3" spans="2:16" ht="14.25" customHeight="1" x14ac:dyDescent="0.3"/>
    <row r="4" spans="2:16" ht="30" customHeight="1" x14ac:dyDescent="0.3">
      <c r="B4" s="370" t="s">
        <v>0</v>
      </c>
      <c r="C4" s="371"/>
      <c r="D4" s="371"/>
      <c r="E4" s="371"/>
      <c r="F4" s="371"/>
      <c r="G4" s="371"/>
      <c r="H4" s="371"/>
      <c r="I4" s="371"/>
      <c r="J4" s="371"/>
      <c r="K4" s="371"/>
      <c r="L4" s="371"/>
      <c r="M4" s="371"/>
      <c r="N4" s="371"/>
      <c r="O4" s="371"/>
      <c r="P4" s="388"/>
    </row>
    <row r="5" spans="2:16" ht="19.5" customHeight="1" x14ac:dyDescent="0.3">
      <c r="B5" s="415" t="s">
        <v>875</v>
      </c>
      <c r="C5" s="411"/>
      <c r="D5" s="409"/>
      <c r="E5" s="408"/>
      <c r="F5" s="409"/>
      <c r="G5" s="410" t="s">
        <v>876</v>
      </c>
      <c r="H5" s="411"/>
      <c r="I5" s="409"/>
      <c r="J5" s="412"/>
      <c r="K5" s="409"/>
      <c r="L5" s="410" t="s">
        <v>8</v>
      </c>
      <c r="M5" s="411"/>
      <c r="N5" s="409"/>
      <c r="O5" s="413"/>
      <c r="P5" s="414"/>
    </row>
    <row r="6" spans="2:16" ht="19.5" customHeight="1" x14ac:dyDescent="0.3">
      <c r="B6" s="416" t="s">
        <v>877</v>
      </c>
      <c r="C6" s="397"/>
      <c r="D6" s="417"/>
      <c r="E6" s="418"/>
      <c r="F6" s="417"/>
      <c r="G6" s="419" t="s">
        <v>878</v>
      </c>
      <c r="H6" s="397"/>
      <c r="I6" s="417"/>
      <c r="J6" s="418"/>
      <c r="K6" s="417"/>
      <c r="L6" s="419" t="s">
        <v>879</v>
      </c>
      <c r="M6" s="397"/>
      <c r="N6" s="417"/>
      <c r="O6" s="420"/>
      <c r="P6" s="398"/>
    </row>
    <row r="7" spans="2:16" ht="19.5" customHeight="1" x14ac:dyDescent="0.3"/>
    <row r="8" spans="2:16" ht="30" customHeight="1" x14ac:dyDescent="0.3">
      <c r="B8" s="374" t="s">
        <v>10</v>
      </c>
      <c r="C8" s="375"/>
      <c r="D8" s="375"/>
      <c r="E8" s="375"/>
      <c r="F8" s="375"/>
      <c r="G8" s="375"/>
      <c r="H8" s="375"/>
      <c r="I8" s="375"/>
      <c r="J8" s="375"/>
      <c r="K8" s="375"/>
      <c r="L8" s="375"/>
      <c r="M8" s="375"/>
      <c r="N8" s="375"/>
      <c r="O8" s="375"/>
      <c r="P8" s="369"/>
    </row>
    <row r="9" spans="2:16" ht="19.5" customHeight="1" x14ac:dyDescent="0.3">
      <c r="B9" s="370" t="s">
        <v>12</v>
      </c>
      <c r="C9" s="371"/>
      <c r="D9" s="371"/>
      <c r="E9" s="371"/>
      <c r="F9" s="371"/>
      <c r="G9" s="371"/>
      <c r="H9" s="371"/>
      <c r="I9" s="371"/>
      <c r="J9" s="371"/>
      <c r="K9" s="371"/>
      <c r="L9" s="371"/>
      <c r="M9" s="371"/>
      <c r="N9" s="371"/>
      <c r="O9" s="371"/>
      <c r="P9" s="388"/>
    </row>
    <row r="10" spans="2:16" ht="19.5" customHeight="1" x14ac:dyDescent="0.3">
      <c r="B10" s="399" t="s">
        <v>880</v>
      </c>
      <c r="C10" s="400"/>
      <c r="D10" s="400"/>
      <c r="E10" s="400"/>
      <c r="F10" s="400"/>
      <c r="G10" s="400"/>
      <c r="H10" s="400"/>
      <c r="I10" s="400"/>
      <c r="J10" s="400"/>
      <c r="K10" s="400"/>
      <c r="L10" s="400"/>
      <c r="M10" s="400"/>
      <c r="N10" s="400"/>
      <c r="O10" s="400"/>
      <c r="P10" s="401"/>
    </row>
    <row r="11" spans="2:16" ht="19.5" customHeight="1" x14ac:dyDescent="0.3">
      <c r="B11" s="421" t="s">
        <v>881</v>
      </c>
      <c r="C11" s="422"/>
      <c r="D11" s="429" t="s">
        <v>882</v>
      </c>
      <c r="E11" s="390"/>
      <c r="F11" s="390"/>
      <c r="G11" s="390"/>
      <c r="H11" s="390"/>
      <c r="I11" s="390"/>
      <c r="J11" s="390"/>
      <c r="K11" s="390"/>
      <c r="L11" s="390"/>
      <c r="M11" s="430"/>
      <c r="N11" s="431" t="s">
        <v>883</v>
      </c>
      <c r="O11" s="432"/>
      <c r="P11" s="433"/>
    </row>
    <row r="12" spans="2:16" ht="19.5" customHeight="1" x14ac:dyDescent="0.3">
      <c r="B12" s="423"/>
      <c r="C12" s="424"/>
      <c r="D12" s="431" t="s">
        <v>884</v>
      </c>
      <c r="E12" s="440"/>
      <c r="F12" s="429" t="s">
        <v>885</v>
      </c>
      <c r="G12" s="390"/>
      <c r="H12" s="390"/>
      <c r="I12" s="430"/>
      <c r="J12" s="431" t="s">
        <v>886</v>
      </c>
      <c r="K12" s="440"/>
      <c r="L12" s="431" t="s">
        <v>887</v>
      </c>
      <c r="M12" s="440"/>
      <c r="N12" s="434"/>
      <c r="O12" s="435"/>
      <c r="P12" s="436"/>
    </row>
    <row r="13" spans="2:16" ht="46.5" customHeight="1" x14ac:dyDescent="0.3">
      <c r="B13" s="425"/>
      <c r="C13" s="426"/>
      <c r="D13" s="437"/>
      <c r="E13" s="441"/>
      <c r="F13" s="406" t="s">
        <v>888</v>
      </c>
      <c r="G13" s="430"/>
      <c r="H13" s="406" t="s">
        <v>889</v>
      </c>
      <c r="I13" s="430"/>
      <c r="J13" s="437"/>
      <c r="K13" s="441"/>
      <c r="L13" s="437"/>
      <c r="M13" s="441"/>
      <c r="N13" s="437"/>
      <c r="O13" s="438"/>
      <c r="P13" s="439"/>
    </row>
    <row r="14" spans="2:16" ht="19.5" customHeight="1" x14ac:dyDescent="0.3">
      <c r="B14" s="427"/>
      <c r="C14" s="404"/>
      <c r="D14" s="428"/>
      <c r="E14" s="404"/>
      <c r="F14" s="428"/>
      <c r="G14" s="404"/>
      <c r="H14" s="428"/>
      <c r="I14" s="404"/>
      <c r="J14" s="442"/>
      <c r="K14" s="430"/>
      <c r="L14" s="428"/>
      <c r="M14" s="404"/>
      <c r="N14" s="442"/>
      <c r="O14" s="390"/>
      <c r="P14" s="394"/>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392" t="s">
        <v>892</v>
      </c>
      <c r="D16" s="390"/>
      <c r="E16" s="390"/>
      <c r="F16" s="390"/>
      <c r="G16" s="390"/>
      <c r="H16" s="390"/>
      <c r="I16" s="390"/>
      <c r="J16" s="390"/>
      <c r="K16" s="390"/>
      <c r="L16" s="390"/>
      <c r="M16" s="390"/>
      <c r="N16" s="391"/>
      <c r="O16" s="393" t="s">
        <v>893</v>
      </c>
      <c r="P16" s="394"/>
    </row>
    <row r="17" spans="2:16" ht="19.5" customHeight="1" x14ac:dyDescent="0.3">
      <c r="B17" s="348" t="s">
        <v>894</v>
      </c>
      <c r="C17" s="392" t="s">
        <v>895</v>
      </c>
      <c r="D17" s="390"/>
      <c r="E17" s="390"/>
      <c r="F17" s="390"/>
      <c r="G17" s="390"/>
      <c r="H17" s="390"/>
      <c r="I17" s="390"/>
      <c r="J17" s="390"/>
      <c r="K17" s="390"/>
      <c r="L17" s="390"/>
      <c r="M17" s="390"/>
      <c r="N17" s="391"/>
      <c r="O17" s="393" t="s">
        <v>893</v>
      </c>
      <c r="P17" s="394"/>
    </row>
    <row r="18" spans="2:16" ht="19.5" customHeight="1" x14ac:dyDescent="0.3">
      <c r="B18" s="348" t="s">
        <v>896</v>
      </c>
      <c r="C18" s="389" t="s">
        <v>897</v>
      </c>
      <c r="D18" s="390"/>
      <c r="E18" s="390"/>
      <c r="F18" s="390"/>
      <c r="G18" s="390"/>
      <c r="H18" s="390"/>
      <c r="I18" s="390"/>
      <c r="J18" s="390"/>
      <c r="K18" s="390"/>
      <c r="L18" s="390"/>
      <c r="M18" s="390"/>
      <c r="N18" s="391"/>
      <c r="O18" s="393" t="s">
        <v>893</v>
      </c>
      <c r="P18" s="394"/>
    </row>
    <row r="19" spans="2:16" ht="19.5" customHeight="1" x14ac:dyDescent="0.3">
      <c r="B19" s="348" t="s">
        <v>898</v>
      </c>
      <c r="C19" s="392" t="s">
        <v>899</v>
      </c>
      <c r="D19" s="390"/>
      <c r="E19" s="390"/>
      <c r="F19" s="390"/>
      <c r="G19" s="390"/>
      <c r="H19" s="390"/>
      <c r="I19" s="390"/>
      <c r="J19" s="390"/>
      <c r="K19" s="390"/>
      <c r="L19" s="390"/>
      <c r="M19" s="390"/>
      <c r="N19" s="391"/>
      <c r="O19" s="393" t="s">
        <v>893</v>
      </c>
      <c r="P19" s="394"/>
    </row>
    <row r="20" spans="2:16" ht="19.5" customHeight="1" x14ac:dyDescent="0.3">
      <c r="B20" s="348" t="s">
        <v>900</v>
      </c>
      <c r="C20" s="392" t="s">
        <v>901</v>
      </c>
      <c r="D20" s="390"/>
      <c r="E20" s="390"/>
      <c r="F20" s="390"/>
      <c r="G20" s="390"/>
      <c r="H20" s="390"/>
      <c r="I20" s="390"/>
      <c r="J20" s="390"/>
      <c r="K20" s="390"/>
      <c r="L20" s="390"/>
      <c r="M20" s="390"/>
      <c r="N20" s="391"/>
      <c r="O20" s="393" t="s">
        <v>893</v>
      </c>
      <c r="P20" s="394"/>
    </row>
    <row r="21" spans="2:16" ht="19.5" customHeight="1" x14ac:dyDescent="0.3">
      <c r="B21" s="349" t="s">
        <v>902</v>
      </c>
      <c r="C21" s="392" t="s">
        <v>903</v>
      </c>
      <c r="D21" s="390"/>
      <c r="E21" s="390"/>
      <c r="F21" s="390"/>
      <c r="G21" s="390"/>
      <c r="H21" s="390"/>
      <c r="I21" s="390"/>
      <c r="J21" s="390"/>
      <c r="K21" s="390"/>
      <c r="L21" s="390"/>
      <c r="M21" s="390"/>
      <c r="N21" s="391"/>
      <c r="O21" s="393" t="s">
        <v>893</v>
      </c>
      <c r="P21" s="394"/>
    </row>
    <row r="22" spans="2:16" ht="39.75" customHeight="1" x14ac:dyDescent="0.3">
      <c r="B22" s="349" t="s">
        <v>904</v>
      </c>
      <c r="C22" s="395" t="s">
        <v>905</v>
      </c>
      <c r="D22" s="390"/>
      <c r="E22" s="390"/>
      <c r="F22" s="390"/>
      <c r="G22" s="390"/>
      <c r="H22" s="390"/>
      <c r="I22" s="390"/>
      <c r="J22" s="390"/>
      <c r="K22" s="390"/>
      <c r="L22" s="390"/>
      <c r="M22" s="390"/>
      <c r="N22" s="391"/>
      <c r="O22" s="393" t="s">
        <v>893</v>
      </c>
      <c r="P22" s="394"/>
    </row>
    <row r="23" spans="2:16" ht="14.25" customHeight="1" x14ac:dyDescent="0.3">
      <c r="B23" s="350" t="s">
        <v>906</v>
      </c>
      <c r="C23" s="396" t="s">
        <v>893</v>
      </c>
      <c r="D23" s="397"/>
      <c r="E23" s="397"/>
      <c r="F23" s="397"/>
      <c r="G23" s="397"/>
      <c r="H23" s="397"/>
      <c r="I23" s="397"/>
      <c r="J23" s="397"/>
      <c r="K23" s="397"/>
      <c r="L23" s="397"/>
      <c r="M23" s="397"/>
      <c r="N23" s="397"/>
      <c r="O23" s="397"/>
      <c r="P23" s="398"/>
    </row>
    <row r="24" spans="2:16" ht="19.5" customHeight="1" x14ac:dyDescent="0.3">
      <c r="B24" s="399" t="s">
        <v>907</v>
      </c>
      <c r="C24" s="400"/>
      <c r="D24" s="400"/>
      <c r="E24" s="400"/>
      <c r="F24" s="400"/>
      <c r="G24" s="400"/>
      <c r="H24" s="400"/>
      <c r="I24" s="400"/>
      <c r="J24" s="400"/>
      <c r="K24" s="400"/>
      <c r="L24" s="400"/>
      <c r="M24" s="400"/>
      <c r="N24" s="400"/>
      <c r="O24" s="400"/>
      <c r="P24" s="401"/>
    </row>
    <row r="25" spans="2:16" ht="57.75" customHeight="1" x14ac:dyDescent="0.3">
      <c r="B25" s="402" t="s">
        <v>908</v>
      </c>
      <c r="C25" s="403"/>
      <c r="D25" s="403"/>
      <c r="E25" s="403"/>
      <c r="F25" s="404"/>
      <c r="G25" s="405" t="s">
        <v>909</v>
      </c>
      <c r="H25" s="403"/>
      <c r="I25" s="403"/>
      <c r="J25" s="403"/>
      <c r="K25" s="404"/>
      <c r="L25" s="406" t="s">
        <v>910</v>
      </c>
      <c r="M25" s="390"/>
      <c r="N25" s="390"/>
      <c r="O25" s="390"/>
      <c r="P25" s="394"/>
    </row>
    <row r="26" spans="2:16" ht="19.5" customHeight="1" x14ac:dyDescent="0.3">
      <c r="B26" s="443"/>
      <c r="C26" s="397"/>
      <c r="D26" s="397"/>
      <c r="E26" s="397"/>
      <c r="F26" s="417"/>
      <c r="G26" s="444"/>
      <c r="H26" s="397"/>
      <c r="I26" s="397"/>
      <c r="J26" s="397"/>
      <c r="K26" s="417"/>
      <c r="L26" s="445"/>
      <c r="M26" s="446"/>
      <c r="N26" s="446"/>
      <c r="O26" s="446"/>
      <c r="P26" s="447"/>
    </row>
    <row r="27" spans="2:16" ht="19.5" customHeight="1" x14ac:dyDescent="0.3">
      <c r="B27" s="399" t="s">
        <v>911</v>
      </c>
      <c r="C27" s="400"/>
      <c r="D27" s="400"/>
      <c r="E27" s="400"/>
      <c r="F27" s="400"/>
      <c r="G27" s="400"/>
      <c r="H27" s="400"/>
      <c r="I27" s="400"/>
      <c r="J27" s="400"/>
      <c r="K27" s="400"/>
      <c r="L27" s="400"/>
      <c r="M27" s="400"/>
      <c r="N27" s="400"/>
      <c r="O27" s="400"/>
      <c r="P27" s="401"/>
    </row>
    <row r="28" spans="2:16" ht="19.5" customHeight="1" x14ac:dyDescent="0.3">
      <c r="B28" s="448" t="s">
        <v>912</v>
      </c>
      <c r="C28" s="390"/>
      <c r="D28" s="390"/>
      <c r="E28" s="390"/>
      <c r="F28" s="390"/>
      <c r="G28" s="390"/>
      <c r="H28" s="390"/>
      <c r="I28" s="430"/>
      <c r="J28" s="449" t="s">
        <v>434</v>
      </c>
      <c r="K28" s="390"/>
      <c r="L28" s="390"/>
      <c r="M28" s="390"/>
      <c r="N28" s="390"/>
      <c r="O28" s="390"/>
      <c r="P28" s="394"/>
    </row>
    <row r="29" spans="2:16" ht="19.5" customHeight="1" x14ac:dyDescent="0.3">
      <c r="B29" s="453"/>
      <c r="C29" s="446"/>
      <c r="D29" s="446"/>
      <c r="E29" s="446"/>
      <c r="F29" s="446"/>
      <c r="G29" s="446"/>
      <c r="H29" s="446"/>
      <c r="I29" s="454"/>
      <c r="J29" s="450"/>
      <c r="K29" s="446"/>
      <c r="L29" s="446"/>
      <c r="M29" s="446"/>
      <c r="N29" s="446"/>
      <c r="O29" s="446"/>
      <c r="P29" s="447"/>
    </row>
    <row r="30" spans="2:16" ht="19.5" customHeight="1" x14ac:dyDescent="0.3">
      <c r="B30" s="370" t="s">
        <v>60</v>
      </c>
      <c r="C30" s="371"/>
      <c r="D30" s="371"/>
      <c r="E30" s="371"/>
      <c r="F30" s="371"/>
      <c r="G30" s="371"/>
      <c r="H30" s="371"/>
      <c r="I30" s="371"/>
      <c r="J30" s="371"/>
      <c r="K30" s="371"/>
      <c r="L30" s="371"/>
      <c r="M30" s="371"/>
      <c r="N30" s="371"/>
      <c r="O30" s="371"/>
      <c r="P30" s="388"/>
    </row>
    <row r="31" spans="2:16" ht="19.5" customHeight="1" x14ac:dyDescent="0.3">
      <c r="B31" s="399" t="s">
        <v>913</v>
      </c>
      <c r="C31" s="400"/>
      <c r="D31" s="400"/>
      <c r="E31" s="400"/>
      <c r="F31" s="400"/>
      <c r="G31" s="400"/>
      <c r="H31" s="400"/>
      <c r="I31" s="400"/>
      <c r="J31" s="400"/>
      <c r="K31" s="400"/>
      <c r="L31" s="400"/>
      <c r="M31" s="400"/>
      <c r="N31" s="400"/>
      <c r="O31" s="400"/>
      <c r="P31" s="401"/>
    </row>
    <row r="32" spans="2:16" ht="19.5" customHeight="1" x14ac:dyDescent="0.3">
      <c r="B32" s="421" t="s">
        <v>914</v>
      </c>
      <c r="C32" s="432"/>
      <c r="D32" s="440"/>
      <c r="E32" s="431" t="s">
        <v>915</v>
      </c>
      <c r="F32" s="440"/>
      <c r="G32" s="431" t="s">
        <v>916</v>
      </c>
      <c r="H32" s="432"/>
      <c r="I32" s="440"/>
      <c r="J32" s="431" t="s">
        <v>917</v>
      </c>
      <c r="K32" s="440"/>
      <c r="L32" s="431" t="s">
        <v>918</v>
      </c>
      <c r="M32" s="432"/>
      <c r="N32" s="440"/>
      <c r="O32" s="431" t="s">
        <v>919</v>
      </c>
      <c r="P32" s="433"/>
    </row>
    <row r="33" spans="2:16" ht="19.5" customHeight="1" x14ac:dyDescent="0.3">
      <c r="B33" s="423"/>
      <c r="C33" s="435"/>
      <c r="D33" s="452"/>
      <c r="E33" s="434"/>
      <c r="F33" s="452"/>
      <c r="G33" s="434"/>
      <c r="H33" s="435"/>
      <c r="I33" s="452"/>
      <c r="J33" s="434"/>
      <c r="K33" s="452"/>
      <c r="L33" s="434"/>
      <c r="M33" s="435"/>
      <c r="N33" s="452"/>
      <c r="O33" s="434"/>
      <c r="P33" s="436"/>
    </row>
    <row r="34" spans="2:16" ht="19.5" customHeight="1" x14ac:dyDescent="0.3">
      <c r="B34" s="425"/>
      <c r="C34" s="438"/>
      <c r="D34" s="441"/>
      <c r="E34" s="437"/>
      <c r="F34" s="441"/>
      <c r="G34" s="437"/>
      <c r="H34" s="438"/>
      <c r="I34" s="441"/>
      <c r="J34" s="437"/>
      <c r="K34" s="441"/>
      <c r="L34" s="437"/>
      <c r="M34" s="438"/>
      <c r="N34" s="441"/>
      <c r="O34" s="437"/>
      <c r="P34" s="439"/>
    </row>
    <row r="35" spans="2:16" ht="19.5" customHeight="1" x14ac:dyDescent="0.3">
      <c r="B35" s="443"/>
      <c r="C35" s="397"/>
      <c r="D35" s="417"/>
      <c r="E35" s="458"/>
      <c r="F35" s="417"/>
      <c r="G35" s="444"/>
      <c r="H35" s="397"/>
      <c r="I35" s="417"/>
      <c r="J35" s="444"/>
      <c r="K35" s="417"/>
      <c r="L35" s="444"/>
      <c r="M35" s="397"/>
      <c r="N35" s="417"/>
      <c r="O35" s="444"/>
      <c r="P35" s="398"/>
    </row>
    <row r="36" spans="2:16" ht="19.5" customHeight="1" x14ac:dyDescent="0.3">
      <c r="B36" s="370" t="s">
        <v>66</v>
      </c>
      <c r="C36" s="371"/>
      <c r="D36" s="371"/>
      <c r="E36" s="371"/>
      <c r="F36" s="371"/>
      <c r="G36" s="371"/>
      <c r="H36" s="371"/>
      <c r="I36" s="371"/>
      <c r="J36" s="371"/>
      <c r="K36" s="371"/>
      <c r="L36" s="371"/>
      <c r="M36" s="371"/>
      <c r="N36" s="371"/>
      <c r="O36" s="371"/>
      <c r="P36" s="388"/>
    </row>
    <row r="37" spans="2:16" ht="19.5" customHeight="1" x14ac:dyDescent="0.3">
      <c r="B37" s="468" t="s">
        <v>920</v>
      </c>
      <c r="C37" s="375"/>
      <c r="D37" s="375"/>
      <c r="E37" s="375"/>
      <c r="F37" s="375"/>
      <c r="G37" s="375"/>
      <c r="H37" s="375"/>
      <c r="I37" s="375"/>
      <c r="J37" s="375"/>
      <c r="K37" s="375"/>
      <c r="L37" s="375"/>
      <c r="M37" s="375"/>
      <c r="N37" s="375"/>
      <c r="O37" s="375"/>
      <c r="P37" s="369"/>
    </row>
    <row r="38" spans="2:16" ht="111" customHeight="1" x14ac:dyDescent="0.3">
      <c r="B38" s="455" t="s">
        <v>921</v>
      </c>
      <c r="C38" s="456"/>
      <c r="D38" s="351" t="s">
        <v>922</v>
      </c>
      <c r="E38" s="351" t="s">
        <v>923</v>
      </c>
      <c r="F38" s="352" t="s">
        <v>924</v>
      </c>
      <c r="G38" s="469" t="s">
        <v>925</v>
      </c>
      <c r="H38" s="470"/>
      <c r="I38" s="353" t="s">
        <v>926</v>
      </c>
      <c r="J38" s="352" t="s">
        <v>927</v>
      </c>
      <c r="K38" s="352" t="s">
        <v>928</v>
      </c>
      <c r="L38" s="352" t="s">
        <v>929</v>
      </c>
      <c r="M38" s="352" t="s">
        <v>930</v>
      </c>
      <c r="N38" s="469" t="s">
        <v>926</v>
      </c>
      <c r="O38" s="470"/>
      <c r="P38" s="354" t="s">
        <v>931</v>
      </c>
    </row>
    <row r="39" spans="2:16" ht="14.25" customHeight="1" x14ac:dyDescent="0.3">
      <c r="B39" s="457"/>
      <c r="C39" s="430"/>
      <c r="D39" s="355"/>
      <c r="E39" s="355"/>
      <c r="F39" s="355"/>
      <c r="G39" s="442"/>
      <c r="H39" s="430"/>
      <c r="I39" s="356"/>
      <c r="J39" s="355"/>
      <c r="K39" s="355"/>
      <c r="L39" s="355"/>
      <c r="M39" s="355"/>
      <c r="N39" s="442"/>
      <c r="O39" s="391"/>
      <c r="P39" s="357"/>
    </row>
    <row r="40" spans="2:16" ht="22.5" customHeight="1" x14ac:dyDescent="0.3">
      <c r="B40" s="358"/>
      <c r="C40" s="476"/>
      <c r="D40" s="446"/>
      <c r="E40" s="446"/>
      <c r="F40" s="446"/>
      <c r="G40" s="446"/>
      <c r="H40" s="446"/>
      <c r="I40" s="446"/>
      <c r="J40" s="446"/>
      <c r="K40" s="446"/>
      <c r="L40" s="446"/>
      <c r="M40" s="446"/>
      <c r="N40" s="446"/>
      <c r="O40" s="446"/>
      <c r="P40" s="447"/>
    </row>
    <row r="41" spans="2:16" ht="14.25" customHeight="1" x14ac:dyDescent="0.3">
      <c r="B41" s="370" t="s">
        <v>79</v>
      </c>
      <c r="C41" s="371"/>
      <c r="D41" s="371"/>
      <c r="E41" s="371"/>
      <c r="F41" s="371"/>
      <c r="G41" s="371"/>
      <c r="H41" s="371"/>
      <c r="I41" s="371"/>
      <c r="J41" s="371"/>
      <c r="K41" s="371"/>
      <c r="L41" s="371"/>
      <c r="M41" s="371"/>
      <c r="N41" s="371"/>
      <c r="O41" s="371"/>
      <c r="P41" s="388"/>
    </row>
    <row r="42" spans="2:16" ht="19.5" customHeight="1" x14ac:dyDescent="0.3">
      <c r="B42" s="399" t="s">
        <v>80</v>
      </c>
      <c r="C42" s="400"/>
      <c r="D42" s="400"/>
      <c r="E42" s="400"/>
      <c r="F42" s="400"/>
      <c r="G42" s="400"/>
      <c r="H42" s="400"/>
      <c r="I42" s="400"/>
      <c r="J42" s="400"/>
      <c r="K42" s="400"/>
      <c r="L42" s="400"/>
      <c r="M42" s="400"/>
      <c r="N42" s="400"/>
      <c r="O42" s="400"/>
      <c r="P42" s="401"/>
    </row>
    <row r="43" spans="2:16" ht="19.5" customHeight="1" x14ac:dyDescent="0.3">
      <c r="B43" s="451" t="s">
        <v>932</v>
      </c>
      <c r="C43" s="390"/>
      <c r="D43" s="390"/>
      <c r="E43" s="390"/>
      <c r="F43" s="430"/>
      <c r="G43" s="406" t="s">
        <v>933</v>
      </c>
      <c r="H43" s="390"/>
      <c r="I43" s="390"/>
      <c r="J43" s="390"/>
      <c r="K43" s="430"/>
      <c r="L43" s="406" t="s">
        <v>934</v>
      </c>
      <c r="M43" s="390"/>
      <c r="N43" s="390"/>
      <c r="O43" s="390"/>
      <c r="P43" s="394"/>
    </row>
    <row r="44" spans="2:16" ht="19.5" customHeight="1" x14ac:dyDescent="0.3">
      <c r="B44" s="457">
        <v>5</v>
      </c>
      <c r="C44" s="390"/>
      <c r="D44" s="390"/>
      <c r="E44" s="390"/>
      <c r="F44" s="430"/>
      <c r="G44" s="459" t="s">
        <v>935</v>
      </c>
      <c r="H44" s="390"/>
      <c r="I44" s="390"/>
      <c r="J44" s="390"/>
      <c r="K44" s="430"/>
      <c r="L44" s="459" t="s">
        <v>936</v>
      </c>
      <c r="M44" s="390"/>
      <c r="N44" s="390"/>
      <c r="O44" s="390"/>
      <c r="P44" s="394"/>
    </row>
    <row r="45" spans="2:16" ht="19.5" customHeight="1" x14ac:dyDescent="0.3">
      <c r="B45" s="460" t="s">
        <v>937</v>
      </c>
      <c r="C45" s="390"/>
      <c r="D45" s="390"/>
      <c r="E45" s="390"/>
      <c r="F45" s="390"/>
      <c r="G45" s="390"/>
      <c r="H45" s="390"/>
      <c r="I45" s="390"/>
      <c r="J45" s="390"/>
      <c r="K45" s="390"/>
      <c r="L45" s="390"/>
      <c r="M45" s="390"/>
      <c r="N45" s="390"/>
      <c r="O45" s="390"/>
      <c r="P45" s="394"/>
    </row>
    <row r="46" spans="2:16" ht="19.5" customHeight="1" x14ac:dyDescent="0.3">
      <c r="B46" s="451" t="s">
        <v>938</v>
      </c>
      <c r="C46" s="390"/>
      <c r="D46" s="390"/>
      <c r="E46" s="390"/>
      <c r="F46" s="430"/>
      <c r="G46" s="406" t="s">
        <v>939</v>
      </c>
      <c r="H46" s="390"/>
      <c r="I46" s="390"/>
      <c r="J46" s="390"/>
      <c r="K46" s="430"/>
      <c r="L46" s="406" t="s">
        <v>934</v>
      </c>
      <c r="M46" s="390"/>
      <c r="N46" s="390"/>
      <c r="O46" s="390"/>
      <c r="P46" s="394"/>
    </row>
    <row r="47" spans="2:16" ht="19.5" customHeight="1" x14ac:dyDescent="0.3">
      <c r="B47" s="457">
        <v>6</v>
      </c>
      <c r="C47" s="390"/>
      <c r="D47" s="390"/>
      <c r="E47" s="390"/>
      <c r="F47" s="430"/>
      <c r="G47" s="459">
        <v>15</v>
      </c>
      <c r="H47" s="390"/>
      <c r="I47" s="390"/>
      <c r="J47" s="390"/>
      <c r="K47" s="430"/>
      <c r="L47" s="459" t="s">
        <v>91</v>
      </c>
      <c r="M47" s="390"/>
      <c r="N47" s="390"/>
      <c r="O47" s="390"/>
      <c r="P47" s="394"/>
    </row>
    <row r="48" spans="2:16" ht="19.5" customHeight="1" x14ac:dyDescent="0.3">
      <c r="B48" s="460" t="s">
        <v>940</v>
      </c>
      <c r="C48" s="390"/>
      <c r="D48" s="390"/>
      <c r="E48" s="390"/>
      <c r="F48" s="390"/>
      <c r="G48" s="390"/>
      <c r="H48" s="390"/>
      <c r="I48" s="390"/>
      <c r="J48" s="390"/>
      <c r="K48" s="390"/>
      <c r="L48" s="390"/>
      <c r="M48" s="390"/>
      <c r="N48" s="390"/>
      <c r="O48" s="390"/>
      <c r="P48" s="394"/>
    </row>
    <row r="49" spans="1:26" ht="19.5" customHeight="1" x14ac:dyDescent="0.3">
      <c r="B49" s="451" t="s">
        <v>941</v>
      </c>
      <c r="C49" s="390"/>
      <c r="D49" s="390"/>
      <c r="E49" s="390"/>
      <c r="F49" s="430"/>
      <c r="G49" s="406" t="s">
        <v>942</v>
      </c>
      <c r="H49" s="390"/>
      <c r="I49" s="390"/>
      <c r="J49" s="390"/>
      <c r="K49" s="430"/>
      <c r="L49" s="406" t="s">
        <v>943</v>
      </c>
      <c r="M49" s="390"/>
      <c r="N49" s="390"/>
      <c r="O49" s="390"/>
      <c r="P49" s="394"/>
    </row>
    <row r="50" spans="1:26" ht="19.5" customHeight="1" x14ac:dyDescent="0.3">
      <c r="B50" s="467" t="s">
        <v>944</v>
      </c>
      <c r="C50" s="397"/>
      <c r="D50" s="397"/>
      <c r="E50" s="397"/>
      <c r="F50" s="417"/>
      <c r="G50" s="444">
        <v>25</v>
      </c>
      <c r="H50" s="397"/>
      <c r="I50" s="397"/>
      <c r="J50" s="397"/>
      <c r="K50" s="417"/>
      <c r="L50" s="461">
        <v>0.15</v>
      </c>
      <c r="M50" s="397"/>
      <c r="N50" s="397"/>
      <c r="O50" s="397"/>
      <c r="P50" s="398"/>
    </row>
    <row r="51" spans="1:26" ht="19.5" customHeight="1" x14ac:dyDescent="0.3">
      <c r="B51" s="466" t="s">
        <v>105</v>
      </c>
      <c r="C51" s="446"/>
      <c r="D51" s="446"/>
      <c r="E51" s="446"/>
      <c r="F51" s="446"/>
      <c r="G51" s="446"/>
      <c r="H51" s="446"/>
      <c r="I51" s="446"/>
      <c r="J51" s="446"/>
      <c r="K51" s="446"/>
      <c r="L51" s="446"/>
      <c r="M51" s="446"/>
      <c r="N51" s="446"/>
      <c r="O51" s="446"/>
      <c r="P51" s="447"/>
    </row>
    <row r="52" spans="1:26" ht="19.5" customHeight="1" x14ac:dyDescent="0.3">
      <c r="B52" s="399" t="s">
        <v>945</v>
      </c>
      <c r="C52" s="400"/>
      <c r="D52" s="400"/>
      <c r="E52" s="400"/>
      <c r="F52" s="400"/>
      <c r="G52" s="400"/>
      <c r="H52" s="400"/>
      <c r="I52" s="400"/>
      <c r="J52" s="400"/>
      <c r="K52" s="400"/>
      <c r="L52" s="400"/>
      <c r="M52" s="400"/>
      <c r="N52" s="400"/>
      <c r="O52" s="400"/>
      <c r="P52" s="401"/>
    </row>
    <row r="53" spans="1:26" ht="19.5" customHeight="1" x14ac:dyDescent="0.3">
      <c r="B53" s="421" t="s">
        <v>946</v>
      </c>
      <c r="C53" s="432"/>
      <c r="D53" s="432"/>
      <c r="E53" s="440"/>
      <c r="F53" s="431" t="s">
        <v>947</v>
      </c>
      <c r="G53" s="432"/>
      <c r="H53" s="432"/>
      <c r="I53" s="440"/>
      <c r="J53" s="431" t="s">
        <v>948</v>
      </c>
      <c r="K53" s="432"/>
      <c r="L53" s="440"/>
      <c r="M53" s="431" t="s">
        <v>949</v>
      </c>
      <c r="N53" s="432"/>
      <c r="O53" s="432"/>
      <c r="P53" s="433"/>
    </row>
    <row r="54" spans="1:26" ht="19.5" customHeight="1" x14ac:dyDescent="0.3">
      <c r="B54" s="423"/>
      <c r="C54" s="435"/>
      <c r="D54" s="435"/>
      <c r="E54" s="452"/>
      <c r="F54" s="434"/>
      <c r="G54" s="435"/>
      <c r="H54" s="435"/>
      <c r="I54" s="452"/>
      <c r="J54" s="434"/>
      <c r="K54" s="435"/>
      <c r="L54" s="452"/>
      <c r="M54" s="434"/>
      <c r="N54" s="435"/>
      <c r="O54" s="435"/>
      <c r="P54" s="436"/>
    </row>
    <row r="55" spans="1:26" ht="19.5" customHeight="1" x14ac:dyDescent="0.3">
      <c r="B55" s="423"/>
      <c r="C55" s="435"/>
      <c r="D55" s="435"/>
      <c r="E55" s="452"/>
      <c r="F55" s="434"/>
      <c r="G55" s="435"/>
      <c r="H55" s="435"/>
      <c r="I55" s="452"/>
      <c r="J55" s="434"/>
      <c r="K55" s="435"/>
      <c r="L55" s="452"/>
      <c r="M55" s="434"/>
      <c r="N55" s="435"/>
      <c r="O55" s="435"/>
      <c r="P55" s="436"/>
    </row>
    <row r="56" spans="1:26" ht="19.5" customHeight="1" x14ac:dyDescent="0.3">
      <c r="B56" s="425"/>
      <c r="C56" s="438"/>
      <c r="D56" s="438"/>
      <c r="E56" s="441"/>
      <c r="F56" s="437"/>
      <c r="G56" s="438"/>
      <c r="H56" s="438"/>
      <c r="I56" s="441"/>
      <c r="J56" s="437"/>
      <c r="K56" s="438"/>
      <c r="L56" s="441"/>
      <c r="M56" s="437"/>
      <c r="N56" s="438"/>
      <c r="O56" s="438"/>
      <c r="P56" s="439"/>
    </row>
    <row r="57" spans="1:26" ht="19.5" customHeight="1" x14ac:dyDescent="0.3">
      <c r="B57" s="457"/>
      <c r="C57" s="390"/>
      <c r="D57" s="390"/>
      <c r="E57" s="430"/>
      <c r="F57" s="459"/>
      <c r="G57" s="390"/>
      <c r="H57" s="390"/>
      <c r="I57" s="430"/>
      <c r="J57" s="459"/>
      <c r="K57" s="390"/>
      <c r="L57" s="430"/>
      <c r="M57" s="459"/>
      <c r="N57" s="390"/>
      <c r="O57" s="390"/>
      <c r="P57" s="394"/>
    </row>
    <row r="58" spans="1:26" ht="19.5" customHeight="1" x14ac:dyDescent="0.3"/>
    <row r="59" spans="1:26" ht="30" customHeight="1" x14ac:dyDescent="0.3">
      <c r="A59" s="120"/>
      <c r="B59" s="370" t="s">
        <v>950</v>
      </c>
      <c r="C59" s="371"/>
      <c r="D59" s="371"/>
      <c r="E59" s="371"/>
      <c r="F59" s="371"/>
      <c r="G59" s="371"/>
      <c r="H59" s="371"/>
      <c r="I59" s="371"/>
      <c r="J59" s="371"/>
      <c r="K59" s="371"/>
      <c r="L59" s="371"/>
      <c r="M59" s="371"/>
      <c r="N59" s="371"/>
      <c r="O59" s="371"/>
      <c r="P59" s="388"/>
      <c r="Q59" s="120"/>
      <c r="R59" s="120"/>
      <c r="S59" s="120"/>
      <c r="T59" s="120"/>
      <c r="U59" s="120"/>
      <c r="V59" s="120"/>
      <c r="W59" s="120"/>
      <c r="X59" s="120"/>
      <c r="Y59" s="120"/>
      <c r="Z59" s="120"/>
    </row>
    <row r="60" spans="1:26" ht="18" customHeight="1" x14ac:dyDescent="0.3">
      <c r="B60" s="479" t="s">
        <v>951</v>
      </c>
      <c r="C60" s="480"/>
      <c r="D60" s="464" t="s">
        <v>952</v>
      </c>
      <c r="E60" s="400"/>
      <c r="F60" s="465"/>
      <c r="G60" s="462" t="s">
        <v>953</v>
      </c>
      <c r="H60" s="464" t="s">
        <v>954</v>
      </c>
      <c r="I60" s="465"/>
      <c r="J60" s="462" t="s">
        <v>955</v>
      </c>
      <c r="K60" s="462" t="s">
        <v>956</v>
      </c>
      <c r="L60" s="462" t="s">
        <v>957</v>
      </c>
      <c r="M60" s="462" t="s">
        <v>958</v>
      </c>
      <c r="N60" s="462" t="s">
        <v>959</v>
      </c>
      <c r="O60" s="462" t="s">
        <v>960</v>
      </c>
      <c r="P60" s="477" t="s">
        <v>961</v>
      </c>
    </row>
    <row r="61" spans="1:26" ht="72.75" customHeight="1" x14ac:dyDescent="0.3">
      <c r="B61" s="425"/>
      <c r="C61" s="441"/>
      <c r="D61" s="359" t="s">
        <v>962</v>
      </c>
      <c r="E61" s="359" t="s">
        <v>963</v>
      </c>
      <c r="F61" s="359" t="s">
        <v>964</v>
      </c>
      <c r="G61" s="463"/>
      <c r="H61" s="360" t="s">
        <v>965</v>
      </c>
      <c r="I61" s="360" t="s">
        <v>966</v>
      </c>
      <c r="J61" s="463"/>
      <c r="K61" s="463"/>
      <c r="L61" s="463"/>
      <c r="M61" s="463"/>
      <c r="N61" s="463"/>
      <c r="O61" s="463"/>
      <c r="P61" s="478"/>
    </row>
    <row r="62" spans="1:26" ht="14.25" customHeight="1" x14ac:dyDescent="0.3">
      <c r="B62" s="471" t="s">
        <v>967</v>
      </c>
      <c r="C62" s="430"/>
      <c r="D62" s="361"/>
      <c r="E62" s="361"/>
      <c r="F62" s="361"/>
      <c r="G62" s="362"/>
      <c r="H62" s="361"/>
      <c r="I62" s="361"/>
      <c r="J62" s="361"/>
      <c r="K62" s="361"/>
      <c r="L62" s="361"/>
      <c r="M62" s="361"/>
      <c r="N62" s="361"/>
      <c r="O62" s="361"/>
      <c r="P62" s="363"/>
    </row>
    <row r="63" spans="1:26" ht="14.25" customHeight="1" x14ac:dyDescent="0.3">
      <c r="A63" s="277"/>
      <c r="B63" s="472" t="s">
        <v>968</v>
      </c>
      <c r="C63" s="417"/>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473" t="s">
        <v>969</v>
      </c>
      <c r="C64" s="474"/>
      <c r="D64" s="474"/>
      <c r="E64" s="474"/>
      <c r="F64" s="474"/>
      <c r="G64" s="474"/>
      <c r="H64" s="474"/>
      <c r="I64" s="474"/>
      <c r="J64" s="474"/>
      <c r="K64" s="474"/>
      <c r="L64" s="474"/>
      <c r="M64" s="474"/>
      <c r="N64" s="474"/>
      <c r="O64" s="474"/>
      <c r="P64" s="474"/>
      <c r="Q64" s="277"/>
      <c r="R64" s="277"/>
      <c r="S64" s="277"/>
      <c r="T64" s="277"/>
      <c r="U64" s="277"/>
      <c r="V64" s="277"/>
      <c r="W64" s="277"/>
      <c r="X64" s="277"/>
      <c r="Y64" s="277"/>
      <c r="Z64" s="277"/>
    </row>
    <row r="65" spans="2:16" ht="19.5" customHeight="1" x14ac:dyDescent="0.3">
      <c r="B65" s="475" t="s">
        <v>970</v>
      </c>
      <c r="C65" s="435"/>
      <c r="D65" s="435"/>
      <c r="E65" s="435"/>
      <c r="F65" s="435"/>
      <c r="G65" s="435"/>
      <c r="H65" s="435"/>
      <c r="I65" s="435"/>
      <c r="J65" s="435"/>
      <c r="K65" s="435"/>
      <c r="L65" s="435"/>
      <c r="M65" s="435"/>
      <c r="N65" s="435"/>
      <c r="O65" s="435"/>
      <c r="P65" s="435"/>
    </row>
    <row r="66" spans="2:16" ht="19.5" customHeight="1" x14ac:dyDescent="0.3">
      <c r="B66" s="475" t="s">
        <v>971</v>
      </c>
      <c r="C66" s="435"/>
      <c r="D66" s="435"/>
      <c r="E66" s="435"/>
      <c r="F66" s="435"/>
      <c r="G66" s="435"/>
      <c r="H66" s="435"/>
      <c r="I66" s="435"/>
      <c r="J66" s="435"/>
      <c r="K66" s="435"/>
      <c r="L66" s="435"/>
      <c r="M66" s="435"/>
      <c r="N66" s="435"/>
      <c r="O66" s="435"/>
      <c r="P66" s="435"/>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45:P45"/>
    <mergeCell ref="B62:C62"/>
    <mergeCell ref="B63:C63"/>
    <mergeCell ref="B64:P64"/>
    <mergeCell ref="B65:P65"/>
    <mergeCell ref="B66:P66"/>
    <mergeCell ref="C40:P40"/>
    <mergeCell ref="B41:P41"/>
    <mergeCell ref="B42:P42"/>
    <mergeCell ref="B43:F43"/>
    <mergeCell ref="G43:K43"/>
    <mergeCell ref="L43:P43"/>
    <mergeCell ref="B44:F44"/>
    <mergeCell ref="G44:K44"/>
    <mergeCell ref="L44:P44"/>
    <mergeCell ref="B59:P59"/>
    <mergeCell ref="L60:L61"/>
    <mergeCell ref="M60:M61"/>
    <mergeCell ref="N60:N61"/>
    <mergeCell ref="O60:O61"/>
    <mergeCell ref="P60:P61"/>
    <mergeCell ref="B57:E57"/>
    <mergeCell ref="B60:C61"/>
    <mergeCell ref="D60:F60"/>
    <mergeCell ref="J35:K35"/>
    <mergeCell ref="L35:N35"/>
    <mergeCell ref="O35:P35"/>
    <mergeCell ref="B36:P36"/>
    <mergeCell ref="B37:P37"/>
    <mergeCell ref="G38:H38"/>
    <mergeCell ref="N38:O38"/>
    <mergeCell ref="G39:H39"/>
    <mergeCell ref="N39:O39"/>
    <mergeCell ref="G60:G61"/>
    <mergeCell ref="H60:I60"/>
    <mergeCell ref="J60:J61"/>
    <mergeCell ref="K60:K61"/>
    <mergeCell ref="B51:P51"/>
    <mergeCell ref="B52:P52"/>
    <mergeCell ref="J57:L57"/>
    <mergeCell ref="M57:P57"/>
    <mergeCell ref="B50:F50"/>
    <mergeCell ref="B53:E56"/>
    <mergeCell ref="F53:I56"/>
    <mergeCell ref="J53:L56"/>
    <mergeCell ref="M53:P56"/>
    <mergeCell ref="F57:I57"/>
    <mergeCell ref="B47:F47"/>
    <mergeCell ref="G47:K47"/>
    <mergeCell ref="L47:P47"/>
    <mergeCell ref="B48:P48"/>
    <mergeCell ref="B49:F49"/>
    <mergeCell ref="G49:K49"/>
    <mergeCell ref="L49:P49"/>
    <mergeCell ref="G50:K50"/>
    <mergeCell ref="L50:P50"/>
    <mergeCell ref="B26:F26"/>
    <mergeCell ref="G26:K26"/>
    <mergeCell ref="L26:P26"/>
    <mergeCell ref="B27:P27"/>
    <mergeCell ref="B28:I28"/>
    <mergeCell ref="J28:P28"/>
    <mergeCell ref="J29:P29"/>
    <mergeCell ref="B46:F46"/>
    <mergeCell ref="G46:K46"/>
    <mergeCell ref="L46:P46"/>
    <mergeCell ref="L32:N34"/>
    <mergeCell ref="O32:P34"/>
    <mergeCell ref="B29:I29"/>
    <mergeCell ref="B30:P30"/>
    <mergeCell ref="B31:P31"/>
    <mergeCell ref="B32:D34"/>
    <mergeCell ref="E32:F34"/>
    <mergeCell ref="G32:I34"/>
    <mergeCell ref="J32:K34"/>
    <mergeCell ref="B35:D35"/>
    <mergeCell ref="B38:C38"/>
    <mergeCell ref="B39:C39"/>
    <mergeCell ref="E35:F35"/>
    <mergeCell ref="G35:I35"/>
    <mergeCell ref="F14:G14"/>
    <mergeCell ref="H14:I14"/>
    <mergeCell ref="J14:K14"/>
    <mergeCell ref="L14:M14"/>
    <mergeCell ref="N14:P14"/>
    <mergeCell ref="C16:N16"/>
    <mergeCell ref="O16:P16"/>
    <mergeCell ref="C17:N17"/>
    <mergeCell ref="O17:P17"/>
    <mergeCell ref="B10:P10"/>
    <mergeCell ref="D11:M11"/>
    <mergeCell ref="N11:P13"/>
    <mergeCell ref="D12:E13"/>
    <mergeCell ref="L12:M13"/>
    <mergeCell ref="F12:I12"/>
    <mergeCell ref="J12:K13"/>
    <mergeCell ref="F13:G13"/>
    <mergeCell ref="H13:I13"/>
    <mergeCell ref="C23:P23"/>
    <mergeCell ref="B24:P24"/>
    <mergeCell ref="B25:F25"/>
    <mergeCell ref="G25:K25"/>
    <mergeCell ref="L25:P25"/>
    <mergeCell ref="B2:P2"/>
    <mergeCell ref="B4:P4"/>
    <mergeCell ref="E5:F5"/>
    <mergeCell ref="G5:I5"/>
    <mergeCell ref="J5:K5"/>
    <mergeCell ref="L5:N5"/>
    <mergeCell ref="O5:P5"/>
    <mergeCell ref="B5:D5"/>
    <mergeCell ref="B6:D6"/>
    <mergeCell ref="E6:F6"/>
    <mergeCell ref="G6:I6"/>
    <mergeCell ref="J6:K6"/>
    <mergeCell ref="L6:N6"/>
    <mergeCell ref="O6:P6"/>
    <mergeCell ref="B11:C13"/>
    <mergeCell ref="B14:C14"/>
    <mergeCell ref="D14:E14"/>
    <mergeCell ref="B8:P8"/>
    <mergeCell ref="B9:P9"/>
    <mergeCell ref="C18:N18"/>
    <mergeCell ref="C19:N19"/>
    <mergeCell ref="O19:P19"/>
    <mergeCell ref="C20:N20"/>
    <mergeCell ref="O20:P20"/>
    <mergeCell ref="C21:N21"/>
    <mergeCell ref="O21:P21"/>
    <mergeCell ref="C22:N22"/>
    <mergeCell ref="O22:P22"/>
    <mergeCell ref="O18:P18"/>
  </mergeCells>
  <printOptions horizontalCentered="1" verticalCentered="1"/>
  <pageMargins left="0" right="3.937007874015748E-2" top="0.15748031496062992" bottom="0.15748031496062992" header="0" footer="0"/>
  <pageSetup paperSize="9" orientation="portrait"/>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996B4-AE77-4945-A614-FF5FD3524DC4}">
  <sheetPr codeName="Hoja47">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thickBot="1" x14ac:dyDescent="0.35">
      <c r="B2" s="407" t="s">
        <v>874</v>
      </c>
      <c r="C2" s="380"/>
      <c r="D2" s="380"/>
      <c r="E2" s="380"/>
      <c r="F2" s="380"/>
      <c r="G2" s="380"/>
      <c r="H2" s="380"/>
      <c r="I2" s="380"/>
      <c r="J2" s="380"/>
      <c r="K2" s="380"/>
      <c r="L2" s="380"/>
      <c r="M2" s="380"/>
      <c r="N2" s="380"/>
      <c r="O2" s="380"/>
      <c r="P2" s="380"/>
    </row>
    <row r="3" spans="2:16" ht="14.25" customHeight="1" thickBot="1" x14ac:dyDescent="0.35"/>
    <row r="4" spans="2:16" ht="30" customHeight="1" thickBot="1" x14ac:dyDescent="0.35">
      <c r="B4" s="370" t="s">
        <v>0</v>
      </c>
      <c r="C4" s="371"/>
      <c r="D4" s="371"/>
      <c r="E4" s="371"/>
      <c r="F4" s="371"/>
      <c r="G4" s="371"/>
      <c r="H4" s="371"/>
      <c r="I4" s="371"/>
      <c r="J4" s="371"/>
      <c r="K4" s="371"/>
      <c r="L4" s="371"/>
      <c r="M4" s="371"/>
      <c r="N4" s="371"/>
      <c r="O4" s="371"/>
      <c r="P4" s="388"/>
    </row>
    <row r="5" spans="2:16" ht="19.5" customHeight="1" x14ac:dyDescent="0.3">
      <c r="B5" s="415" t="s">
        <v>875</v>
      </c>
      <c r="C5" s="411"/>
      <c r="D5" s="409"/>
      <c r="E5" s="408"/>
      <c r="F5" s="409"/>
      <c r="G5" s="410" t="s">
        <v>876</v>
      </c>
      <c r="H5" s="411"/>
      <c r="I5" s="409"/>
      <c r="J5" s="412"/>
      <c r="K5" s="409"/>
      <c r="L5" s="410" t="s">
        <v>8</v>
      </c>
      <c r="M5" s="411"/>
      <c r="N5" s="409"/>
      <c r="O5" s="413"/>
      <c r="P5" s="414"/>
    </row>
    <row r="6" spans="2:16" ht="19.5" customHeight="1" thickBot="1" x14ac:dyDescent="0.35">
      <c r="B6" s="416" t="s">
        <v>877</v>
      </c>
      <c r="C6" s="397"/>
      <c r="D6" s="417"/>
      <c r="E6" s="418" t="s">
        <v>138</v>
      </c>
      <c r="F6" s="417"/>
      <c r="G6" s="419" t="s">
        <v>878</v>
      </c>
      <c r="H6" s="397"/>
      <c r="I6" s="417"/>
      <c r="J6" s="418" t="s">
        <v>482</v>
      </c>
      <c r="K6" s="417"/>
      <c r="L6" s="419" t="s">
        <v>879</v>
      </c>
      <c r="M6" s="397"/>
      <c r="N6" s="417"/>
      <c r="O6" s="420" t="s">
        <v>482</v>
      </c>
      <c r="P6" s="398"/>
    </row>
    <row r="7" spans="2:16" ht="19.5" customHeight="1" thickBot="1" x14ac:dyDescent="0.35"/>
    <row r="8" spans="2:16" ht="30" customHeight="1" thickBot="1" x14ac:dyDescent="0.35">
      <c r="B8" s="374" t="s">
        <v>10</v>
      </c>
      <c r="C8" s="375"/>
      <c r="D8" s="375"/>
      <c r="E8" s="375"/>
      <c r="F8" s="375"/>
      <c r="G8" s="375"/>
      <c r="H8" s="375"/>
      <c r="I8" s="375"/>
      <c r="J8" s="375"/>
      <c r="K8" s="375"/>
      <c r="L8" s="375"/>
      <c r="M8" s="375"/>
      <c r="N8" s="375"/>
      <c r="O8" s="375"/>
      <c r="P8" s="369"/>
    </row>
    <row r="9" spans="2:16" ht="19.5" customHeight="1" thickBot="1" x14ac:dyDescent="0.35">
      <c r="B9" s="370" t="s">
        <v>12</v>
      </c>
      <c r="C9" s="371"/>
      <c r="D9" s="371"/>
      <c r="E9" s="371"/>
      <c r="F9" s="371"/>
      <c r="G9" s="371"/>
      <c r="H9" s="371"/>
      <c r="I9" s="371"/>
      <c r="J9" s="371"/>
      <c r="K9" s="371"/>
      <c r="L9" s="371"/>
      <c r="M9" s="371"/>
      <c r="N9" s="371"/>
      <c r="O9" s="371"/>
      <c r="P9" s="388"/>
    </row>
    <row r="10" spans="2:16" ht="19.5" customHeight="1" x14ac:dyDescent="0.3">
      <c r="B10" s="399" t="s">
        <v>880</v>
      </c>
      <c r="C10" s="400"/>
      <c r="D10" s="400"/>
      <c r="E10" s="400"/>
      <c r="F10" s="400"/>
      <c r="G10" s="400"/>
      <c r="H10" s="400"/>
      <c r="I10" s="400"/>
      <c r="J10" s="400"/>
      <c r="K10" s="400"/>
      <c r="L10" s="400"/>
      <c r="M10" s="400"/>
      <c r="N10" s="400"/>
      <c r="O10" s="400"/>
      <c r="P10" s="401"/>
    </row>
    <row r="11" spans="2:16" ht="19.5" customHeight="1" x14ac:dyDescent="0.3">
      <c r="B11" s="421" t="s">
        <v>881</v>
      </c>
      <c r="C11" s="422"/>
      <c r="D11" s="429" t="s">
        <v>882</v>
      </c>
      <c r="E11" s="390"/>
      <c r="F11" s="390"/>
      <c r="G11" s="390"/>
      <c r="H11" s="390"/>
      <c r="I11" s="390"/>
      <c r="J11" s="390"/>
      <c r="K11" s="390"/>
      <c r="L11" s="390"/>
      <c r="M11" s="430"/>
      <c r="N11" s="431" t="s">
        <v>883</v>
      </c>
      <c r="O11" s="432"/>
      <c r="P11" s="433"/>
    </row>
    <row r="12" spans="2:16" ht="19.5" customHeight="1" x14ac:dyDescent="0.3">
      <c r="B12" s="423"/>
      <c r="C12" s="424"/>
      <c r="D12" s="431" t="s">
        <v>884</v>
      </c>
      <c r="E12" s="440"/>
      <c r="F12" s="429" t="s">
        <v>885</v>
      </c>
      <c r="G12" s="390"/>
      <c r="H12" s="390"/>
      <c r="I12" s="430"/>
      <c r="J12" s="431" t="s">
        <v>886</v>
      </c>
      <c r="K12" s="440"/>
      <c r="L12" s="431" t="s">
        <v>887</v>
      </c>
      <c r="M12" s="440"/>
      <c r="N12" s="434"/>
      <c r="O12" s="435"/>
      <c r="P12" s="436"/>
    </row>
    <row r="13" spans="2:16" ht="46.5" customHeight="1" x14ac:dyDescent="0.3">
      <c r="B13" s="425"/>
      <c r="C13" s="426"/>
      <c r="D13" s="437"/>
      <c r="E13" s="441"/>
      <c r="F13" s="406" t="s">
        <v>888</v>
      </c>
      <c r="G13" s="430"/>
      <c r="H13" s="406" t="s">
        <v>889</v>
      </c>
      <c r="I13" s="430"/>
      <c r="J13" s="437"/>
      <c r="K13" s="441"/>
      <c r="L13" s="437"/>
      <c r="M13" s="441"/>
      <c r="N13" s="437"/>
      <c r="O13" s="438"/>
      <c r="P13" s="439"/>
    </row>
    <row r="14" spans="2:16" ht="19.5" customHeight="1" x14ac:dyDescent="0.3">
      <c r="B14" s="427">
        <v>12000</v>
      </c>
      <c r="C14" s="404"/>
      <c r="D14" s="428" t="s">
        <v>139</v>
      </c>
      <c r="E14" s="404"/>
      <c r="F14" s="428" t="b">
        <v>0</v>
      </c>
      <c r="G14" s="404"/>
      <c r="H14" s="428" t="b">
        <v>0</v>
      </c>
      <c r="I14" s="404"/>
      <c r="J14" s="442" t="b">
        <v>0</v>
      </c>
      <c r="K14" s="430"/>
      <c r="L14" s="428" t="b">
        <v>0</v>
      </c>
      <c r="M14" s="404"/>
      <c r="N14" s="442"/>
      <c r="O14" s="390"/>
      <c r="P14" s="394"/>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392" t="s">
        <v>892</v>
      </c>
      <c r="D16" s="390"/>
      <c r="E16" s="390"/>
      <c r="F16" s="390"/>
      <c r="G16" s="390"/>
      <c r="H16" s="390"/>
      <c r="I16" s="390"/>
      <c r="J16" s="390"/>
      <c r="K16" s="390"/>
      <c r="L16" s="390"/>
      <c r="M16" s="390"/>
      <c r="N16" s="391"/>
      <c r="O16" s="393" t="b">
        <v>0</v>
      </c>
      <c r="P16" s="394"/>
    </row>
    <row r="17" spans="2:16" ht="19.5" customHeight="1" x14ac:dyDescent="0.3">
      <c r="B17" s="348" t="s">
        <v>894</v>
      </c>
      <c r="C17" s="392" t="s">
        <v>895</v>
      </c>
      <c r="D17" s="390"/>
      <c r="E17" s="390"/>
      <c r="F17" s="390"/>
      <c r="G17" s="390"/>
      <c r="H17" s="390"/>
      <c r="I17" s="390"/>
      <c r="J17" s="390"/>
      <c r="K17" s="390"/>
      <c r="L17" s="390"/>
      <c r="M17" s="390"/>
      <c r="N17" s="391"/>
      <c r="O17" s="393" t="b">
        <v>0</v>
      </c>
      <c r="P17" s="394"/>
    </row>
    <row r="18" spans="2:16" ht="19.5" customHeight="1" x14ac:dyDescent="0.3">
      <c r="B18" s="348" t="s">
        <v>896</v>
      </c>
      <c r="C18" s="389" t="s">
        <v>897</v>
      </c>
      <c r="D18" s="390"/>
      <c r="E18" s="390"/>
      <c r="F18" s="390"/>
      <c r="G18" s="390"/>
      <c r="H18" s="390"/>
      <c r="I18" s="390"/>
      <c r="J18" s="390"/>
      <c r="K18" s="390"/>
      <c r="L18" s="390"/>
      <c r="M18" s="390"/>
      <c r="N18" s="391"/>
      <c r="O18" s="393" t="b">
        <v>0</v>
      </c>
      <c r="P18" s="394"/>
    </row>
    <row r="19" spans="2:16" ht="19.5" customHeight="1" x14ac:dyDescent="0.3">
      <c r="B19" s="348" t="s">
        <v>898</v>
      </c>
      <c r="C19" s="392" t="s">
        <v>899</v>
      </c>
      <c r="D19" s="390"/>
      <c r="E19" s="390"/>
      <c r="F19" s="390"/>
      <c r="G19" s="390"/>
      <c r="H19" s="390"/>
      <c r="I19" s="390"/>
      <c r="J19" s="390"/>
      <c r="K19" s="390"/>
      <c r="L19" s="390"/>
      <c r="M19" s="390"/>
      <c r="N19" s="391"/>
      <c r="O19" s="393" t="b">
        <v>0</v>
      </c>
      <c r="P19" s="394"/>
    </row>
    <row r="20" spans="2:16" ht="19.5" customHeight="1" x14ac:dyDescent="0.3">
      <c r="B20" s="348" t="s">
        <v>900</v>
      </c>
      <c r="C20" s="392" t="s">
        <v>901</v>
      </c>
      <c r="D20" s="390"/>
      <c r="E20" s="390"/>
      <c r="F20" s="390"/>
      <c r="G20" s="390"/>
      <c r="H20" s="390"/>
      <c r="I20" s="390"/>
      <c r="J20" s="390"/>
      <c r="K20" s="390"/>
      <c r="L20" s="390"/>
      <c r="M20" s="390"/>
      <c r="N20" s="391"/>
      <c r="O20" s="393" t="s">
        <v>977</v>
      </c>
      <c r="P20" s="394"/>
    </row>
    <row r="21" spans="2:16" ht="19.5" customHeight="1" x14ac:dyDescent="0.3">
      <c r="B21" s="349" t="s">
        <v>902</v>
      </c>
      <c r="C21" s="392" t="s">
        <v>903</v>
      </c>
      <c r="D21" s="390"/>
      <c r="E21" s="390"/>
      <c r="F21" s="390"/>
      <c r="G21" s="390"/>
      <c r="H21" s="390"/>
      <c r="I21" s="390"/>
      <c r="J21" s="390"/>
      <c r="K21" s="390"/>
      <c r="L21" s="390"/>
      <c r="M21" s="390"/>
      <c r="N21" s="391"/>
      <c r="O21" s="393" t="b">
        <v>0</v>
      </c>
      <c r="P21" s="394"/>
    </row>
    <row r="22" spans="2:16" ht="39.75" customHeight="1" x14ac:dyDescent="0.3">
      <c r="B22" s="349" t="s">
        <v>904</v>
      </c>
      <c r="C22" s="395" t="s">
        <v>905</v>
      </c>
      <c r="D22" s="390"/>
      <c r="E22" s="390"/>
      <c r="F22" s="390"/>
      <c r="G22" s="390"/>
      <c r="H22" s="390"/>
      <c r="I22" s="390"/>
      <c r="J22" s="390"/>
      <c r="K22" s="390"/>
      <c r="L22" s="390"/>
      <c r="M22" s="390"/>
      <c r="N22" s="391"/>
      <c r="O22" s="393" t="b">
        <v>0</v>
      </c>
      <c r="P22" s="394"/>
    </row>
    <row r="23" spans="2:16" ht="14.25" customHeight="1" thickBot="1" x14ac:dyDescent="0.35">
      <c r="B23" s="350" t="s">
        <v>906</v>
      </c>
      <c r="C23" s="396" t="s">
        <v>893</v>
      </c>
      <c r="D23" s="397"/>
      <c r="E23" s="397"/>
      <c r="F23" s="397"/>
      <c r="G23" s="397"/>
      <c r="H23" s="397"/>
      <c r="I23" s="397"/>
      <c r="J23" s="397"/>
      <c r="K23" s="397"/>
      <c r="L23" s="397"/>
      <c r="M23" s="397"/>
      <c r="N23" s="397"/>
      <c r="O23" s="397"/>
      <c r="P23" s="398"/>
    </row>
    <row r="24" spans="2:16" ht="19.5" customHeight="1" x14ac:dyDescent="0.3">
      <c r="B24" s="399" t="s">
        <v>907</v>
      </c>
      <c r="C24" s="400"/>
      <c r="D24" s="400"/>
      <c r="E24" s="400"/>
      <c r="F24" s="400"/>
      <c r="G24" s="400"/>
      <c r="H24" s="400"/>
      <c r="I24" s="400"/>
      <c r="J24" s="400"/>
      <c r="K24" s="400"/>
      <c r="L24" s="400"/>
      <c r="M24" s="400"/>
      <c r="N24" s="400"/>
      <c r="O24" s="400"/>
      <c r="P24" s="401"/>
    </row>
    <row r="25" spans="2:16" ht="57.75" customHeight="1" x14ac:dyDescent="0.3">
      <c r="B25" s="402" t="s">
        <v>908</v>
      </c>
      <c r="C25" s="403"/>
      <c r="D25" s="403"/>
      <c r="E25" s="403"/>
      <c r="F25" s="404"/>
      <c r="G25" s="405" t="s">
        <v>909</v>
      </c>
      <c r="H25" s="403"/>
      <c r="I25" s="403"/>
      <c r="J25" s="403"/>
      <c r="K25" s="404"/>
      <c r="L25" s="406" t="s">
        <v>910</v>
      </c>
      <c r="M25" s="390"/>
      <c r="N25" s="390"/>
      <c r="O25" s="390"/>
      <c r="P25" s="394"/>
    </row>
    <row r="26" spans="2:16" ht="19.5" customHeight="1" thickBot="1" x14ac:dyDescent="0.35">
      <c r="B26" s="443" t="s">
        <v>156</v>
      </c>
      <c r="C26" s="397"/>
      <c r="D26" s="397"/>
      <c r="E26" s="397"/>
      <c r="F26" s="417"/>
      <c r="G26" s="444"/>
      <c r="H26" s="397"/>
      <c r="I26" s="397"/>
      <c r="J26" s="397"/>
      <c r="K26" s="417"/>
      <c r="L26" s="445"/>
      <c r="M26" s="446"/>
      <c r="N26" s="446"/>
      <c r="O26" s="446"/>
      <c r="P26" s="447"/>
    </row>
    <row r="27" spans="2:16" ht="19.5" customHeight="1" x14ac:dyDescent="0.3">
      <c r="B27" s="399" t="s">
        <v>911</v>
      </c>
      <c r="C27" s="400"/>
      <c r="D27" s="400"/>
      <c r="E27" s="400"/>
      <c r="F27" s="400"/>
      <c r="G27" s="400"/>
      <c r="H27" s="400"/>
      <c r="I27" s="400"/>
      <c r="J27" s="400"/>
      <c r="K27" s="400"/>
      <c r="L27" s="400"/>
      <c r="M27" s="400"/>
      <c r="N27" s="400"/>
      <c r="O27" s="400"/>
      <c r="P27" s="401"/>
    </row>
    <row r="28" spans="2:16" ht="19.5" customHeight="1" x14ac:dyDescent="0.3">
      <c r="B28" s="448" t="s">
        <v>912</v>
      </c>
      <c r="C28" s="390"/>
      <c r="D28" s="390"/>
      <c r="E28" s="390"/>
      <c r="F28" s="390"/>
      <c r="G28" s="390"/>
      <c r="H28" s="390"/>
      <c r="I28" s="430"/>
      <c r="J28" s="449" t="s">
        <v>434</v>
      </c>
      <c r="K28" s="390"/>
      <c r="L28" s="390"/>
      <c r="M28" s="390"/>
      <c r="N28" s="390"/>
      <c r="O28" s="390"/>
      <c r="P28" s="394"/>
    </row>
    <row r="29" spans="2:16" ht="19.5" customHeight="1" thickBot="1" x14ac:dyDescent="0.35">
      <c r="B29" s="453"/>
      <c r="C29" s="446"/>
      <c r="D29" s="446"/>
      <c r="E29" s="446"/>
      <c r="F29" s="446"/>
      <c r="G29" s="446"/>
      <c r="H29" s="446"/>
      <c r="I29" s="454"/>
      <c r="J29" s="450"/>
      <c r="K29" s="446"/>
      <c r="L29" s="446"/>
      <c r="M29" s="446"/>
      <c r="N29" s="446"/>
      <c r="O29" s="446"/>
      <c r="P29" s="447"/>
    </row>
    <row r="30" spans="2:16" ht="19.5" customHeight="1" thickBot="1" x14ac:dyDescent="0.35">
      <c r="B30" s="370" t="s">
        <v>60</v>
      </c>
      <c r="C30" s="371"/>
      <c r="D30" s="371"/>
      <c r="E30" s="371"/>
      <c r="F30" s="371"/>
      <c r="G30" s="371"/>
      <c r="H30" s="371"/>
      <c r="I30" s="371"/>
      <c r="J30" s="371"/>
      <c r="K30" s="371"/>
      <c r="L30" s="371"/>
      <c r="M30" s="371"/>
      <c r="N30" s="371"/>
      <c r="O30" s="371"/>
      <c r="P30" s="388"/>
    </row>
    <row r="31" spans="2:16" ht="19.5" customHeight="1" x14ac:dyDescent="0.3">
      <c r="B31" s="399" t="s">
        <v>913</v>
      </c>
      <c r="C31" s="400"/>
      <c r="D31" s="400"/>
      <c r="E31" s="400"/>
      <c r="F31" s="400"/>
      <c r="G31" s="400"/>
      <c r="H31" s="400"/>
      <c r="I31" s="400"/>
      <c r="J31" s="400"/>
      <c r="K31" s="400"/>
      <c r="L31" s="400"/>
      <c r="M31" s="400"/>
      <c r="N31" s="400"/>
      <c r="O31" s="400"/>
      <c r="P31" s="401"/>
    </row>
    <row r="32" spans="2:16" ht="19.5" customHeight="1" x14ac:dyDescent="0.3">
      <c r="B32" s="421" t="s">
        <v>914</v>
      </c>
      <c r="C32" s="432"/>
      <c r="D32" s="440"/>
      <c r="E32" s="431" t="s">
        <v>915</v>
      </c>
      <c r="F32" s="440"/>
      <c r="G32" s="431" t="s">
        <v>916</v>
      </c>
      <c r="H32" s="432"/>
      <c r="I32" s="440"/>
      <c r="J32" s="431" t="s">
        <v>917</v>
      </c>
      <c r="K32" s="440"/>
      <c r="L32" s="431" t="s">
        <v>918</v>
      </c>
      <c r="M32" s="432"/>
      <c r="N32" s="440"/>
      <c r="O32" s="431" t="s">
        <v>919</v>
      </c>
      <c r="P32" s="433"/>
    </row>
    <row r="33" spans="2:16" ht="19.5" customHeight="1" x14ac:dyDescent="0.3">
      <c r="B33" s="423"/>
      <c r="C33" s="435"/>
      <c r="D33" s="452"/>
      <c r="E33" s="434"/>
      <c r="F33" s="452"/>
      <c r="G33" s="434"/>
      <c r="H33" s="435"/>
      <c r="I33" s="452"/>
      <c r="J33" s="434"/>
      <c r="K33" s="452"/>
      <c r="L33" s="434"/>
      <c r="M33" s="435"/>
      <c r="N33" s="452"/>
      <c r="O33" s="434"/>
      <c r="P33" s="436"/>
    </row>
    <row r="34" spans="2:16" ht="19.5" customHeight="1" x14ac:dyDescent="0.3">
      <c r="B34" s="425"/>
      <c r="C34" s="438"/>
      <c r="D34" s="441"/>
      <c r="E34" s="437"/>
      <c r="F34" s="441"/>
      <c r="G34" s="437"/>
      <c r="H34" s="438"/>
      <c r="I34" s="441"/>
      <c r="J34" s="437"/>
      <c r="K34" s="441"/>
      <c r="L34" s="437"/>
      <c r="M34" s="438"/>
      <c r="N34" s="441"/>
      <c r="O34" s="437"/>
      <c r="P34" s="439"/>
    </row>
    <row r="35" spans="2:16" ht="19.5" customHeight="1" thickBot="1" x14ac:dyDescent="0.35">
      <c r="B35" s="443"/>
      <c r="C35" s="397"/>
      <c r="D35" s="417"/>
      <c r="E35" s="458"/>
      <c r="F35" s="417"/>
      <c r="G35" s="444"/>
      <c r="H35" s="397"/>
      <c r="I35" s="417"/>
      <c r="J35" s="444"/>
      <c r="K35" s="417"/>
      <c r="L35" s="444"/>
      <c r="M35" s="397"/>
      <c r="N35" s="417"/>
      <c r="O35" s="444"/>
      <c r="P35" s="398"/>
    </row>
    <row r="36" spans="2:16" ht="19.5" customHeight="1" thickBot="1" x14ac:dyDescent="0.35">
      <c r="B36" s="370" t="s">
        <v>66</v>
      </c>
      <c r="C36" s="371"/>
      <c r="D36" s="371"/>
      <c r="E36" s="371"/>
      <c r="F36" s="371"/>
      <c r="G36" s="371"/>
      <c r="H36" s="371"/>
      <c r="I36" s="371"/>
      <c r="J36" s="371"/>
      <c r="K36" s="371"/>
      <c r="L36" s="371"/>
      <c r="M36" s="371"/>
      <c r="N36" s="371"/>
      <c r="O36" s="371"/>
      <c r="P36" s="388"/>
    </row>
    <row r="37" spans="2:16" ht="19.5" customHeight="1" thickBot="1" x14ac:dyDescent="0.35">
      <c r="B37" s="468" t="s">
        <v>920</v>
      </c>
      <c r="C37" s="375"/>
      <c r="D37" s="375"/>
      <c r="E37" s="375"/>
      <c r="F37" s="375"/>
      <c r="G37" s="375"/>
      <c r="H37" s="375"/>
      <c r="I37" s="375"/>
      <c r="J37" s="375"/>
      <c r="K37" s="375"/>
      <c r="L37" s="375"/>
      <c r="M37" s="375"/>
      <c r="N37" s="375"/>
      <c r="O37" s="375"/>
      <c r="P37" s="369"/>
    </row>
    <row r="38" spans="2:16" ht="111" customHeight="1" x14ac:dyDescent="0.3">
      <c r="B38" s="455" t="s">
        <v>921</v>
      </c>
      <c r="C38" s="456"/>
      <c r="D38" s="351" t="s">
        <v>922</v>
      </c>
      <c r="E38" s="351" t="s">
        <v>923</v>
      </c>
      <c r="F38" s="352" t="s">
        <v>924</v>
      </c>
      <c r="G38" s="469" t="s">
        <v>925</v>
      </c>
      <c r="H38" s="470"/>
      <c r="I38" s="353" t="s">
        <v>926</v>
      </c>
      <c r="J38" s="352" t="s">
        <v>927</v>
      </c>
      <c r="K38" s="352" t="s">
        <v>928</v>
      </c>
      <c r="L38" s="352" t="s">
        <v>924</v>
      </c>
      <c r="M38" s="352" t="s">
        <v>930</v>
      </c>
      <c r="N38" s="469" t="s">
        <v>926</v>
      </c>
      <c r="O38" s="470"/>
      <c r="P38" s="354" t="s">
        <v>931</v>
      </c>
    </row>
    <row r="39" spans="2:16" ht="14.25" customHeight="1" x14ac:dyDescent="0.3">
      <c r="B39" s="457"/>
      <c r="C39" s="430"/>
      <c r="D39" s="355" t="b">
        <v>0</v>
      </c>
      <c r="E39" s="355" t="b">
        <v>0</v>
      </c>
      <c r="F39" s="355" t="b">
        <v>0</v>
      </c>
      <c r="G39" s="442"/>
      <c r="H39" s="430"/>
      <c r="I39" s="356"/>
      <c r="J39" s="355" t="b">
        <v>0</v>
      </c>
      <c r="K39" s="355" t="b">
        <v>0</v>
      </c>
      <c r="L39" s="355" t="b">
        <v>0</v>
      </c>
      <c r="M39" s="355" t="s">
        <v>482</v>
      </c>
      <c r="N39" s="442"/>
      <c r="O39" s="391"/>
      <c r="P39" s="357"/>
    </row>
    <row r="40" spans="2:16" ht="22.5" customHeight="1" thickBot="1" x14ac:dyDescent="0.35">
      <c r="B40" s="358"/>
      <c r="C40" s="476"/>
      <c r="D40" s="446"/>
      <c r="E40" s="446"/>
      <c r="F40" s="446"/>
      <c r="G40" s="446"/>
      <c r="H40" s="446"/>
      <c r="I40" s="446"/>
      <c r="J40" s="446"/>
      <c r="K40" s="446"/>
      <c r="L40" s="446"/>
      <c r="M40" s="446"/>
      <c r="N40" s="446"/>
      <c r="O40" s="446"/>
      <c r="P40" s="447"/>
    </row>
    <row r="41" spans="2:16" ht="14.25" customHeight="1" thickBot="1" x14ac:dyDescent="0.35">
      <c r="B41" s="370" t="s">
        <v>79</v>
      </c>
      <c r="C41" s="371"/>
      <c r="D41" s="371"/>
      <c r="E41" s="371"/>
      <c r="F41" s="371"/>
      <c r="G41" s="371"/>
      <c r="H41" s="371"/>
      <c r="I41" s="371"/>
      <c r="J41" s="371"/>
      <c r="K41" s="371"/>
      <c r="L41" s="371"/>
      <c r="M41" s="371"/>
      <c r="N41" s="371"/>
      <c r="O41" s="371"/>
      <c r="P41" s="388"/>
    </row>
    <row r="42" spans="2:16" ht="19.5" customHeight="1" x14ac:dyDescent="0.3">
      <c r="B42" s="399" t="s">
        <v>80</v>
      </c>
      <c r="C42" s="400"/>
      <c r="D42" s="400"/>
      <c r="E42" s="400"/>
      <c r="F42" s="400"/>
      <c r="G42" s="400"/>
      <c r="H42" s="400"/>
      <c r="I42" s="400"/>
      <c r="J42" s="400"/>
      <c r="K42" s="400"/>
      <c r="L42" s="400"/>
      <c r="M42" s="400"/>
      <c r="N42" s="400"/>
      <c r="O42" s="400"/>
      <c r="P42" s="401"/>
    </row>
    <row r="43" spans="2:16" ht="19.5" customHeight="1" x14ac:dyDescent="0.3">
      <c r="B43" s="451" t="s">
        <v>932</v>
      </c>
      <c r="C43" s="390"/>
      <c r="D43" s="390"/>
      <c r="E43" s="390"/>
      <c r="F43" s="430"/>
      <c r="G43" s="406" t="s">
        <v>933</v>
      </c>
      <c r="H43" s="390"/>
      <c r="I43" s="390"/>
      <c r="J43" s="390"/>
      <c r="K43" s="430"/>
      <c r="L43" s="406" t="s">
        <v>934</v>
      </c>
      <c r="M43" s="390"/>
      <c r="N43" s="390"/>
      <c r="O43" s="390"/>
      <c r="P43" s="394"/>
    </row>
    <row r="44" spans="2:16" ht="19.5" customHeight="1" x14ac:dyDescent="0.3">
      <c r="B44" s="457">
        <v>5</v>
      </c>
      <c r="C44" s="390"/>
      <c r="D44" s="390"/>
      <c r="E44" s="390"/>
      <c r="F44" s="430"/>
      <c r="G44" s="459" t="s">
        <v>935</v>
      </c>
      <c r="H44" s="390"/>
      <c r="I44" s="390"/>
      <c r="J44" s="390"/>
      <c r="K44" s="430"/>
      <c r="L44" s="459" t="s">
        <v>936</v>
      </c>
      <c r="M44" s="390"/>
      <c r="N44" s="390"/>
      <c r="O44" s="390"/>
      <c r="P44" s="394"/>
    </row>
    <row r="45" spans="2:16" ht="19.5" customHeight="1" x14ac:dyDescent="0.3">
      <c r="B45" s="460" t="s">
        <v>937</v>
      </c>
      <c r="C45" s="390"/>
      <c r="D45" s="390"/>
      <c r="E45" s="390"/>
      <c r="F45" s="390"/>
      <c r="G45" s="390"/>
      <c r="H45" s="390"/>
      <c r="I45" s="390"/>
      <c r="J45" s="390"/>
      <c r="K45" s="390"/>
      <c r="L45" s="390"/>
      <c r="M45" s="390"/>
      <c r="N45" s="390"/>
      <c r="O45" s="390"/>
      <c r="P45" s="394"/>
    </row>
    <row r="46" spans="2:16" ht="19.5" customHeight="1" x14ac:dyDescent="0.3">
      <c r="B46" s="451" t="s">
        <v>938</v>
      </c>
      <c r="C46" s="390"/>
      <c r="D46" s="390"/>
      <c r="E46" s="390"/>
      <c r="F46" s="430"/>
      <c r="G46" s="406" t="s">
        <v>939</v>
      </c>
      <c r="H46" s="390"/>
      <c r="I46" s="390"/>
      <c r="J46" s="390"/>
      <c r="K46" s="430"/>
      <c r="L46" s="406" t="s">
        <v>934</v>
      </c>
      <c r="M46" s="390"/>
      <c r="N46" s="390"/>
      <c r="O46" s="390"/>
      <c r="P46" s="394"/>
    </row>
    <row r="47" spans="2:16" ht="19.5" customHeight="1" x14ac:dyDescent="0.3">
      <c r="B47" s="457">
        <v>6</v>
      </c>
      <c r="C47" s="390"/>
      <c r="D47" s="390"/>
      <c r="E47" s="390"/>
      <c r="F47" s="430"/>
      <c r="G47" s="459">
        <v>15</v>
      </c>
      <c r="H47" s="390"/>
      <c r="I47" s="390"/>
      <c r="J47" s="390"/>
      <c r="K47" s="430"/>
      <c r="L47" s="459" t="s">
        <v>91</v>
      </c>
      <c r="M47" s="390"/>
      <c r="N47" s="390"/>
      <c r="O47" s="390"/>
      <c r="P47" s="394"/>
    </row>
    <row r="48" spans="2:16" ht="19.5" customHeight="1" x14ac:dyDescent="0.3">
      <c r="B48" s="460" t="s">
        <v>940</v>
      </c>
      <c r="C48" s="390"/>
      <c r="D48" s="390"/>
      <c r="E48" s="390"/>
      <c r="F48" s="390"/>
      <c r="G48" s="390"/>
      <c r="H48" s="390"/>
      <c r="I48" s="390"/>
      <c r="J48" s="390"/>
      <c r="K48" s="390"/>
      <c r="L48" s="390"/>
      <c r="M48" s="390"/>
      <c r="N48" s="390"/>
      <c r="O48" s="390"/>
      <c r="P48" s="394"/>
    </row>
    <row r="49" spans="1:26" ht="19.5" customHeight="1" x14ac:dyDescent="0.3">
      <c r="B49" s="451" t="s">
        <v>941</v>
      </c>
      <c r="C49" s="390"/>
      <c r="D49" s="390"/>
      <c r="E49" s="390"/>
      <c r="F49" s="430"/>
      <c r="G49" s="406" t="s">
        <v>942</v>
      </c>
      <c r="H49" s="390"/>
      <c r="I49" s="390"/>
      <c r="J49" s="390"/>
      <c r="K49" s="430"/>
      <c r="L49" s="406" t="s">
        <v>943</v>
      </c>
      <c r="M49" s="390"/>
      <c r="N49" s="390"/>
      <c r="O49" s="390"/>
      <c r="P49" s="394"/>
    </row>
    <row r="50" spans="1:26" ht="19.5" customHeight="1" thickBot="1" x14ac:dyDescent="0.35">
      <c r="B50" s="467" t="s">
        <v>944</v>
      </c>
      <c r="C50" s="397"/>
      <c r="D50" s="397"/>
      <c r="E50" s="397"/>
      <c r="F50" s="417"/>
      <c r="G50" s="444">
        <v>25</v>
      </c>
      <c r="H50" s="397"/>
      <c r="I50" s="397"/>
      <c r="J50" s="397"/>
      <c r="K50" s="417"/>
      <c r="L50" s="461">
        <v>0.15</v>
      </c>
      <c r="M50" s="397"/>
      <c r="N50" s="397"/>
      <c r="O50" s="397"/>
      <c r="P50" s="398"/>
    </row>
    <row r="51" spans="1:26" ht="19.5" customHeight="1" thickBot="1" x14ac:dyDescent="0.35">
      <c r="B51" s="466" t="s">
        <v>105</v>
      </c>
      <c r="C51" s="446"/>
      <c r="D51" s="446"/>
      <c r="E51" s="446"/>
      <c r="F51" s="446"/>
      <c r="G51" s="446"/>
      <c r="H51" s="446"/>
      <c r="I51" s="446"/>
      <c r="J51" s="446"/>
      <c r="K51" s="446"/>
      <c r="L51" s="446"/>
      <c r="M51" s="446"/>
      <c r="N51" s="446"/>
      <c r="O51" s="446"/>
      <c r="P51" s="447"/>
    </row>
    <row r="52" spans="1:26" ht="19.5" customHeight="1" x14ac:dyDescent="0.3">
      <c r="B52" s="399" t="s">
        <v>945</v>
      </c>
      <c r="C52" s="400"/>
      <c r="D52" s="400"/>
      <c r="E52" s="400"/>
      <c r="F52" s="400"/>
      <c r="G52" s="400"/>
      <c r="H52" s="400"/>
      <c r="I52" s="400"/>
      <c r="J52" s="400"/>
      <c r="K52" s="400"/>
      <c r="L52" s="400"/>
      <c r="M52" s="400"/>
      <c r="N52" s="400"/>
      <c r="O52" s="400"/>
      <c r="P52" s="401"/>
    </row>
    <row r="53" spans="1:26" ht="19.5" customHeight="1" x14ac:dyDescent="0.3">
      <c r="B53" s="421" t="s">
        <v>946</v>
      </c>
      <c r="C53" s="432"/>
      <c r="D53" s="432"/>
      <c r="E53" s="440"/>
      <c r="F53" s="431" t="s">
        <v>947</v>
      </c>
      <c r="G53" s="432"/>
      <c r="H53" s="432"/>
      <c r="I53" s="440"/>
      <c r="J53" s="431" t="s">
        <v>948</v>
      </c>
      <c r="K53" s="432"/>
      <c r="L53" s="440"/>
      <c r="M53" s="431" t="s">
        <v>949</v>
      </c>
      <c r="N53" s="432"/>
      <c r="O53" s="432"/>
      <c r="P53" s="433"/>
    </row>
    <row r="54" spans="1:26" ht="19.5" customHeight="1" x14ac:dyDescent="0.3">
      <c r="B54" s="423"/>
      <c r="C54" s="435"/>
      <c r="D54" s="435"/>
      <c r="E54" s="452"/>
      <c r="F54" s="434"/>
      <c r="G54" s="435"/>
      <c r="H54" s="435"/>
      <c r="I54" s="452"/>
      <c r="J54" s="434"/>
      <c r="K54" s="435"/>
      <c r="L54" s="452"/>
      <c r="M54" s="434"/>
      <c r="N54" s="435"/>
      <c r="O54" s="435"/>
      <c r="P54" s="436"/>
    </row>
    <row r="55" spans="1:26" ht="19.5" customHeight="1" x14ac:dyDescent="0.3">
      <c r="B55" s="423"/>
      <c r="C55" s="435"/>
      <c r="D55" s="435"/>
      <c r="E55" s="452"/>
      <c r="F55" s="434"/>
      <c r="G55" s="435"/>
      <c r="H55" s="435"/>
      <c r="I55" s="452"/>
      <c r="J55" s="434"/>
      <c r="K55" s="435"/>
      <c r="L55" s="452"/>
      <c r="M55" s="434"/>
      <c r="N55" s="435"/>
      <c r="O55" s="435"/>
      <c r="P55" s="436"/>
    </row>
    <row r="56" spans="1:26" ht="19.5" customHeight="1" x14ac:dyDescent="0.3">
      <c r="B56" s="425"/>
      <c r="C56" s="438"/>
      <c r="D56" s="438"/>
      <c r="E56" s="441"/>
      <c r="F56" s="437"/>
      <c r="G56" s="438"/>
      <c r="H56" s="438"/>
      <c r="I56" s="441"/>
      <c r="J56" s="437"/>
      <c r="K56" s="438"/>
      <c r="L56" s="441"/>
      <c r="M56" s="437"/>
      <c r="N56" s="438"/>
      <c r="O56" s="438"/>
      <c r="P56" s="439"/>
    </row>
    <row r="57" spans="1:26" ht="19.5" customHeight="1" x14ac:dyDescent="0.3">
      <c r="B57" s="457"/>
      <c r="C57" s="390"/>
      <c r="D57" s="390"/>
      <c r="E57" s="430"/>
      <c r="F57" s="459" t="b">
        <v>0</v>
      </c>
      <c r="G57" s="390"/>
      <c r="H57" s="390"/>
      <c r="I57" s="430"/>
      <c r="J57" s="459" t="b">
        <v>0</v>
      </c>
      <c r="K57" s="390"/>
      <c r="L57" s="430"/>
      <c r="M57" s="459"/>
      <c r="N57" s="390"/>
      <c r="O57" s="390"/>
      <c r="P57" s="394"/>
    </row>
    <row r="58" spans="1:26" ht="19.5" customHeight="1" thickBot="1" x14ac:dyDescent="0.35"/>
    <row r="59" spans="1:26" ht="30" customHeight="1" thickBot="1" x14ac:dyDescent="0.35">
      <c r="A59" s="120"/>
      <c r="B59" s="370" t="s">
        <v>950</v>
      </c>
      <c r="C59" s="371"/>
      <c r="D59" s="371"/>
      <c r="E59" s="371"/>
      <c r="F59" s="371"/>
      <c r="G59" s="371"/>
      <c r="H59" s="371"/>
      <c r="I59" s="371"/>
      <c r="J59" s="371"/>
      <c r="K59" s="371"/>
      <c r="L59" s="371"/>
      <c r="M59" s="371"/>
      <c r="N59" s="371"/>
      <c r="O59" s="371"/>
      <c r="P59" s="388"/>
      <c r="Q59" s="120"/>
      <c r="R59" s="120"/>
      <c r="S59" s="120"/>
      <c r="T59" s="120"/>
      <c r="U59" s="120"/>
      <c r="V59" s="120"/>
      <c r="W59" s="120"/>
      <c r="X59" s="120"/>
      <c r="Y59" s="120"/>
      <c r="Z59" s="120"/>
    </row>
    <row r="60" spans="1:26" ht="18" customHeight="1" x14ac:dyDescent="0.3">
      <c r="B60" s="479" t="s">
        <v>951</v>
      </c>
      <c r="C60" s="480"/>
      <c r="D60" s="464" t="s">
        <v>952</v>
      </c>
      <c r="E60" s="400"/>
      <c r="F60" s="465"/>
      <c r="G60" s="462" t="s">
        <v>953</v>
      </c>
      <c r="H60" s="464" t="s">
        <v>954</v>
      </c>
      <c r="I60" s="465"/>
      <c r="J60" s="462" t="s">
        <v>955</v>
      </c>
      <c r="K60" s="462" t="s">
        <v>956</v>
      </c>
      <c r="L60" s="462" t="s">
        <v>957</v>
      </c>
      <c r="M60" s="462" t="s">
        <v>958</v>
      </c>
      <c r="N60" s="462" t="s">
        <v>959</v>
      </c>
      <c r="O60" s="462" t="s">
        <v>960</v>
      </c>
      <c r="P60" s="477" t="s">
        <v>961</v>
      </c>
    </row>
    <row r="61" spans="1:26" ht="72.75" customHeight="1" x14ac:dyDescent="0.3">
      <c r="B61" s="425"/>
      <c r="C61" s="441"/>
      <c r="D61" s="359" t="s">
        <v>962</v>
      </c>
      <c r="E61" s="359" t="s">
        <v>963</v>
      </c>
      <c r="F61" s="359" t="s">
        <v>964</v>
      </c>
      <c r="G61" s="463"/>
      <c r="H61" s="360" t="s">
        <v>965</v>
      </c>
      <c r="I61" s="360" t="s">
        <v>966</v>
      </c>
      <c r="J61" s="463"/>
      <c r="K61" s="463"/>
      <c r="L61" s="463"/>
      <c r="M61" s="463"/>
      <c r="N61" s="463"/>
      <c r="O61" s="463"/>
      <c r="P61" s="478"/>
    </row>
    <row r="62" spans="1:26" ht="14.25" customHeight="1" x14ac:dyDescent="0.3">
      <c r="B62" s="471" t="s">
        <v>967</v>
      </c>
      <c r="C62" s="430"/>
      <c r="D62" s="361"/>
      <c r="E62" s="361"/>
      <c r="F62" s="361" t="s">
        <v>151</v>
      </c>
      <c r="G62" s="362" t="s">
        <v>151</v>
      </c>
      <c r="H62" s="361"/>
      <c r="I62" s="361"/>
      <c r="J62" s="361" t="s">
        <v>150</v>
      </c>
      <c r="K62" s="361"/>
      <c r="L62" s="361"/>
      <c r="M62" s="361"/>
      <c r="N62" s="361"/>
      <c r="O62" s="361" t="s">
        <v>150</v>
      </c>
      <c r="P62" s="363" t="s">
        <v>150</v>
      </c>
    </row>
    <row r="63" spans="1:26" ht="14.25" customHeight="1" thickBot="1" x14ac:dyDescent="0.35">
      <c r="A63" s="277"/>
      <c r="B63" s="472" t="s">
        <v>968</v>
      </c>
      <c r="C63" s="417"/>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473" t="s">
        <v>969</v>
      </c>
      <c r="C64" s="474"/>
      <c r="D64" s="474"/>
      <c r="E64" s="474"/>
      <c r="F64" s="474"/>
      <c r="G64" s="474"/>
      <c r="H64" s="474"/>
      <c r="I64" s="474"/>
      <c r="J64" s="474"/>
      <c r="K64" s="474"/>
      <c r="L64" s="474"/>
      <c r="M64" s="474"/>
      <c r="N64" s="474"/>
      <c r="O64" s="474"/>
      <c r="P64" s="474"/>
      <c r="Q64" s="277"/>
      <c r="R64" s="277"/>
      <c r="S64" s="277"/>
      <c r="T64" s="277"/>
      <c r="U64" s="277"/>
      <c r="V64" s="277"/>
      <c r="W64" s="277"/>
      <c r="X64" s="277"/>
      <c r="Y64" s="277"/>
      <c r="Z64" s="277"/>
    </row>
    <row r="65" spans="2:16" ht="19.5" customHeight="1" x14ac:dyDescent="0.3">
      <c r="B65" s="475" t="s">
        <v>970</v>
      </c>
      <c r="C65" s="435"/>
      <c r="D65" s="435"/>
      <c r="E65" s="435"/>
      <c r="F65" s="435"/>
      <c r="G65" s="435"/>
      <c r="H65" s="435"/>
      <c r="I65" s="435"/>
      <c r="J65" s="435"/>
      <c r="K65" s="435"/>
      <c r="L65" s="435"/>
      <c r="M65" s="435"/>
      <c r="N65" s="435"/>
      <c r="O65" s="435"/>
      <c r="P65" s="435"/>
    </row>
    <row r="66" spans="2:16" ht="19.5" customHeight="1" x14ac:dyDescent="0.3">
      <c r="B66" s="475" t="s">
        <v>971</v>
      </c>
      <c r="C66" s="435"/>
      <c r="D66" s="435"/>
      <c r="E66" s="435"/>
      <c r="F66" s="435"/>
      <c r="G66" s="435"/>
      <c r="H66" s="435"/>
      <c r="I66" s="435"/>
      <c r="J66" s="435"/>
      <c r="K66" s="435"/>
      <c r="L66" s="435"/>
      <c r="M66" s="435"/>
      <c r="N66" s="435"/>
      <c r="O66" s="435"/>
      <c r="P66" s="435"/>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62:C62"/>
    <mergeCell ref="B63:C63"/>
    <mergeCell ref="B64:P64"/>
    <mergeCell ref="B65:P65"/>
    <mergeCell ref="B66:P66"/>
    <mergeCell ref="K60:K61"/>
    <mergeCell ref="L60:L61"/>
    <mergeCell ref="M60:M61"/>
    <mergeCell ref="N60:N61"/>
    <mergeCell ref="O60:O61"/>
    <mergeCell ref="P60:P61"/>
    <mergeCell ref="B57:E57"/>
    <mergeCell ref="F57:I57"/>
    <mergeCell ref="J57:L57"/>
    <mergeCell ref="M57:P57"/>
    <mergeCell ref="B59:P59"/>
    <mergeCell ref="B60:C61"/>
    <mergeCell ref="D60:F60"/>
    <mergeCell ref="G60:G61"/>
    <mergeCell ref="H60:I60"/>
    <mergeCell ref="J60:J61"/>
    <mergeCell ref="B50:F50"/>
    <mergeCell ref="G50:K50"/>
    <mergeCell ref="L50:P50"/>
    <mergeCell ref="B51:P51"/>
    <mergeCell ref="B52:P52"/>
    <mergeCell ref="B53:E56"/>
    <mergeCell ref="F53:I56"/>
    <mergeCell ref="J53:L56"/>
    <mergeCell ref="M53:P56"/>
    <mergeCell ref="B47:F47"/>
    <mergeCell ref="G47:K47"/>
    <mergeCell ref="L47:P47"/>
    <mergeCell ref="B48:P48"/>
    <mergeCell ref="B49:F49"/>
    <mergeCell ref="G49:K49"/>
    <mergeCell ref="L49:P49"/>
    <mergeCell ref="B44:F44"/>
    <mergeCell ref="G44:K44"/>
    <mergeCell ref="L44:P44"/>
    <mergeCell ref="B45:P45"/>
    <mergeCell ref="B46:F46"/>
    <mergeCell ref="G46:K46"/>
    <mergeCell ref="L46:P46"/>
    <mergeCell ref="C40:P40"/>
    <mergeCell ref="B41:P41"/>
    <mergeCell ref="B42:P42"/>
    <mergeCell ref="B43:F43"/>
    <mergeCell ref="G43:K43"/>
    <mergeCell ref="L43:P43"/>
    <mergeCell ref="B36:P36"/>
    <mergeCell ref="B37:P37"/>
    <mergeCell ref="B38:C38"/>
    <mergeCell ref="G38:H38"/>
    <mergeCell ref="N38:O38"/>
    <mergeCell ref="B39:C39"/>
    <mergeCell ref="G39:H39"/>
    <mergeCell ref="N39:O39"/>
    <mergeCell ref="B35:D35"/>
    <mergeCell ref="E35:F35"/>
    <mergeCell ref="G35:I35"/>
    <mergeCell ref="J35:K35"/>
    <mergeCell ref="L35:N35"/>
    <mergeCell ref="O35:P35"/>
    <mergeCell ref="B31:P31"/>
    <mergeCell ref="B32:D34"/>
    <mergeCell ref="E32:F34"/>
    <mergeCell ref="G32:I34"/>
    <mergeCell ref="J32:K34"/>
    <mergeCell ref="L32:N34"/>
    <mergeCell ref="O32:P34"/>
    <mergeCell ref="B27:P27"/>
    <mergeCell ref="B28:I28"/>
    <mergeCell ref="J28:P28"/>
    <mergeCell ref="B29:I29"/>
    <mergeCell ref="J29:P29"/>
    <mergeCell ref="B30:P30"/>
    <mergeCell ref="B25:F25"/>
    <mergeCell ref="G25:K25"/>
    <mergeCell ref="L25:P25"/>
    <mergeCell ref="B26:F26"/>
    <mergeCell ref="G26:K26"/>
    <mergeCell ref="L26:P26"/>
    <mergeCell ref="C21:N21"/>
    <mergeCell ref="O21:P21"/>
    <mergeCell ref="C22:N22"/>
    <mergeCell ref="O22:P22"/>
    <mergeCell ref="C23:P23"/>
    <mergeCell ref="B24:P24"/>
    <mergeCell ref="C18:N18"/>
    <mergeCell ref="O18:P18"/>
    <mergeCell ref="C19:N19"/>
    <mergeCell ref="O19:P19"/>
    <mergeCell ref="C20:N20"/>
    <mergeCell ref="O20:P20"/>
    <mergeCell ref="J14:K14"/>
    <mergeCell ref="L14:M14"/>
    <mergeCell ref="N14:P14"/>
    <mergeCell ref="C16:N16"/>
    <mergeCell ref="O16:P16"/>
    <mergeCell ref="C17:N17"/>
    <mergeCell ref="O17:P17"/>
    <mergeCell ref="F13:G13"/>
    <mergeCell ref="H13:I13"/>
    <mergeCell ref="B14:C14"/>
    <mergeCell ref="D14:E14"/>
    <mergeCell ref="F14:G14"/>
    <mergeCell ref="H14:I14"/>
    <mergeCell ref="B8:P8"/>
    <mergeCell ref="B9:P9"/>
    <mergeCell ref="B10:P10"/>
    <mergeCell ref="B11:C13"/>
    <mergeCell ref="D11:M11"/>
    <mergeCell ref="N11:P13"/>
    <mergeCell ref="D12:E13"/>
    <mergeCell ref="F12:I12"/>
    <mergeCell ref="J12:K13"/>
    <mergeCell ref="L12:M13"/>
    <mergeCell ref="B6:D6"/>
    <mergeCell ref="E6:F6"/>
    <mergeCell ref="G6:I6"/>
    <mergeCell ref="J6:K6"/>
    <mergeCell ref="L6:N6"/>
    <mergeCell ref="O6:P6"/>
    <mergeCell ref="B2:P2"/>
    <mergeCell ref="B4:P4"/>
    <mergeCell ref="B5:D5"/>
    <mergeCell ref="E5:F5"/>
    <mergeCell ref="G5:I5"/>
    <mergeCell ref="J5:K5"/>
    <mergeCell ref="L5:N5"/>
    <mergeCell ref="O5:P5"/>
  </mergeCells>
  <printOptions horizontalCentered="1" verticalCentered="1"/>
  <pageMargins left="0" right="3.937007874015748E-2" top="0.15748031496062992" bottom="0.15748031496062992" header="0" footer="0"/>
  <pageSetup paperSize="9" orientation="portrait"/>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27981-4787-44EC-98BA-47D66111A35F}">
  <sheetPr codeName="Hoja43"/>
  <dimension ref="A1:K5"/>
  <sheetViews>
    <sheetView workbookViewId="0">
      <selection activeCell="G24" sqref="G24"/>
    </sheetView>
  </sheetViews>
  <sheetFormatPr baseColWidth="10" defaultRowHeight="14.4" x14ac:dyDescent="0.3"/>
  <cols>
    <col min="2" max="2" width="16.109375" bestFit="1" customWidth="1"/>
  </cols>
  <sheetData>
    <row r="1" spans="1:11" x14ac:dyDescent="0.3">
      <c r="A1" s="481" t="s">
        <v>877</v>
      </c>
      <c r="B1" s="481" t="s">
        <v>983</v>
      </c>
      <c r="C1" s="481" t="s">
        <v>982</v>
      </c>
      <c r="D1" s="481" t="s">
        <v>984</v>
      </c>
      <c r="E1" s="481" t="s">
        <v>5</v>
      </c>
      <c r="F1" s="481" t="s">
        <v>985</v>
      </c>
      <c r="G1" s="481" t="s">
        <v>986</v>
      </c>
      <c r="H1" s="481" t="s">
        <v>987</v>
      </c>
      <c r="I1" s="481" t="s">
        <v>988</v>
      </c>
      <c r="J1" s="481" t="s">
        <v>989</v>
      </c>
      <c r="K1" s="481" t="s">
        <v>990</v>
      </c>
    </row>
    <row r="2" spans="1:11" x14ac:dyDescent="0.3">
      <c r="A2" s="481" t="s">
        <v>991</v>
      </c>
      <c r="B2" s="481" t="s">
        <v>993</v>
      </c>
      <c r="C2" t="str">
        <f>CONFIGURACION</f>
        <v>B</v>
      </c>
    </row>
    <row r="3" spans="1:11" x14ac:dyDescent="0.3">
      <c r="A3" s="481" t="s">
        <v>991</v>
      </c>
      <c r="B3" s="481" t="s">
        <v>992</v>
      </c>
      <c r="C3" t="str">
        <f>NRI</f>
        <v>Medio 3</v>
      </c>
    </row>
    <row r="4" spans="1:11" x14ac:dyDescent="0.3">
      <c r="A4" s="481" t="s">
        <v>991</v>
      </c>
      <c r="B4" s="481" t="s">
        <v>994</v>
      </c>
      <c r="C4" t="str">
        <f>'Textos Memoria'!B3</f>
        <v>La casa buena</v>
      </c>
    </row>
    <row r="5" spans="1:11" x14ac:dyDescent="0.3">
      <c r="A5" s="481" t="s">
        <v>995</v>
      </c>
      <c r="B5" s="481" t="s">
        <v>996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2A452-7CF8-4A2E-A043-17C88CDCF27B}">
  <sheetPr codeName="Hoja44"/>
  <dimension ref="A1"/>
  <sheetViews>
    <sheetView tabSelected="1" workbookViewId="0"/>
  </sheetViews>
  <sheetFormatPr baseColWidth="10"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48</vt:i4>
      </vt:variant>
      <vt:variant>
        <vt:lpstr>Rangos con nombre</vt:lpstr>
      </vt:variant>
      <vt:variant>
        <vt:i4>2</vt:i4>
      </vt:variant>
    </vt:vector>
  </HeadingPairs>
  <TitlesOfParts>
    <vt:vector size="50" baseType="lpstr">
      <vt:lpstr>Interfaz</vt:lpstr>
      <vt:lpstr>001</vt:lpstr>
      <vt:lpstr>Textos Memoria</vt:lpstr>
      <vt:lpstr>Imagenes</vt:lpstr>
      <vt:lpstr>TOKENS Imágenes</vt:lpstr>
      <vt:lpstr>Textos</vt:lpstr>
      <vt:lpstr>Nota 1.5 y 1.6</vt:lpstr>
      <vt:lpstr>Anx. II Sup</vt:lpstr>
      <vt:lpstr>Anx. II Reac</vt:lpstr>
      <vt:lpstr>Anx. II Res Sec</vt:lpstr>
      <vt:lpstr>Anx. II Res Ext</vt:lpstr>
      <vt:lpstr>Anx. II Ocu</vt:lpstr>
      <vt:lpstr>Anx. II Sal</vt:lpstr>
      <vt:lpstr>Anx. II Res</vt:lpstr>
      <vt:lpstr>Anx. III Det Auto</vt:lpstr>
      <vt:lpstr>Anx. III Det Man</vt:lpstr>
      <vt:lpstr>Anx. III Alr</vt:lpstr>
      <vt:lpstr>Anx. III Meg</vt:lpstr>
      <vt:lpstr>Anx. III Hid</vt:lpstr>
      <vt:lpstr>Anx. III Ext Ext</vt:lpstr>
      <vt:lpstr>Anx. III BIES</vt:lpstr>
      <vt:lpstr>Anx. III Ext Auto</vt:lpstr>
      <vt:lpstr>Anx. III Col</vt:lpstr>
      <vt:lpstr>Anx. III Hum</vt:lpstr>
      <vt:lpstr>Superficie NRI</vt:lpstr>
      <vt:lpstr>RF Particiones y Puertas</vt:lpstr>
      <vt:lpstr>Reacción al fuego</vt:lpstr>
      <vt:lpstr>Resist. Estable</vt:lpstr>
      <vt:lpstr>Instalaciones tecnicas</vt:lpstr>
      <vt:lpstr>Reacc Elementos</vt:lpstr>
      <vt:lpstr>Recorridos Evacuacion</vt:lpstr>
      <vt:lpstr>Medios de Evacuacion</vt:lpstr>
      <vt:lpstr>Condiciones Aproximacion</vt:lpstr>
      <vt:lpstr>Resistencia Estructural</vt:lpstr>
      <vt:lpstr>Deteccion</vt:lpstr>
      <vt:lpstr>Abastecimiento</vt:lpstr>
      <vt:lpstr>Hidrantes</vt:lpstr>
      <vt:lpstr>Extintores</vt:lpstr>
      <vt:lpstr>BIES</vt:lpstr>
      <vt:lpstr>Columna Seca</vt:lpstr>
      <vt:lpstr>Extincion Auto</vt:lpstr>
      <vt:lpstr>Control Humos</vt:lpstr>
      <vt:lpstr>Alumbrado Emer</vt:lpstr>
      <vt:lpstr>Señaletica</vt:lpstr>
      <vt:lpstr>Listas</vt:lpstr>
      <vt:lpstr>Tabla resumen</vt:lpstr>
      <vt:lpstr>TOKENS</vt:lpstr>
      <vt:lpstr>TXT</vt:lpstr>
      <vt:lpstr>CONFIGURACION</vt:lpstr>
      <vt:lpstr>NRI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ESDPC</dc:creator>
  <cp:lastModifiedBy>Guillermo Andres Guerra Hiniesto</cp:lastModifiedBy>
  <dcterms:created xsi:type="dcterms:W3CDTF">2015-06-05T18:19:34Z</dcterms:created>
  <dcterms:modified xsi:type="dcterms:W3CDTF">2025-11-12T10:53:52Z</dcterms:modified>
</cp:coreProperties>
</file>